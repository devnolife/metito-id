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drawings/drawing2.xml" ContentType="application/vnd.openxmlformats-officedocument.drawing+xml"/>
  <Override PartName="/xl/ink/ink2.xml" ContentType="application/inkml+xml"/>
  <Override PartName="/xl/drawings/drawing3.xml" ContentType="application/vnd.openxmlformats-officedocument.drawing+xml"/>
  <Override PartName="/xl/ink/ink3.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Multi Enviro Tirta Teknologi\QUOTATION\"/>
    </mc:Choice>
  </mc:AlternateContent>
  <xr:revisionPtr revIDLastSave="0" documentId="13_ncr:1_{3B6E0A2A-0F40-423D-91A4-FF783CB9B544}" xr6:coauthVersionLast="47" xr6:coauthVersionMax="47" xr10:uidLastSave="{00000000-0000-0000-0000-000000000000}"/>
  <bookViews>
    <workbookView xWindow="-120" yWindow="-120" windowWidth="29040" windowHeight="15720" activeTab="2" xr2:uid="{AF3C2557-6195-4CA8-B780-3482B6E4F57B}"/>
  </bookViews>
  <sheets>
    <sheet name="Kable In NP" sheetId="1" r:id="rId1"/>
    <sheet name="Chemical Safetindo" sheetId="2" r:id="rId2"/>
    <sheet name="Kable In NP (2)" sheetId="3" r:id="rId3"/>
  </sheets>
  <definedNames>
    <definedName name="_xlnm.Print_Area" localSheetId="1">'Chemical Safetindo'!$A$1:$P$51</definedName>
    <definedName name="_xlnm.Print_Area" localSheetId="0">'Kable In NP'!$A$1:$P$51</definedName>
    <definedName name="_xlnm.Print_Area" localSheetId="2">'Kable In NP (2)'!$A$1:$P$51</definedName>
  </definedNames>
  <calcPr calcId="181029" iterateDelta="1E-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17" i="3" l="1"/>
  <c r="P15" i="3"/>
  <c r="P13" i="3"/>
  <c r="P17" i="2"/>
  <c r="P15" i="2"/>
  <c r="P13" i="2"/>
  <c r="P21" i="1"/>
  <c r="P19" i="1"/>
  <c r="P20" i="1" s="1"/>
  <c r="P15" i="1"/>
  <c r="P17" i="1"/>
  <c r="P13" i="1"/>
  <c r="P19" i="3" l="1"/>
  <c r="P20" i="3"/>
  <c r="P21" i="3" s="1"/>
  <c r="P19" i="2"/>
  <c r="P20" i="2" s="1"/>
  <c r="P21" i="2" s="1"/>
</calcChain>
</file>

<file path=xl/sharedStrings.xml><?xml version="1.0" encoding="utf-8"?>
<sst xmlns="http://schemas.openxmlformats.org/spreadsheetml/2006/main" count="240" uniqueCount="74">
  <si>
    <t>SALES QUOTATION</t>
  </si>
  <si>
    <t>Date</t>
  </si>
  <si>
    <t>Quotation. No.</t>
  </si>
  <si>
    <t>:</t>
  </si>
  <si>
    <t>Kepada Yth</t>
  </si>
  <si>
    <t>PT. PLN Nusantara Power</t>
  </si>
  <si>
    <t>Attn</t>
  </si>
  <si>
    <t>Perihal</t>
  </si>
  <si>
    <t>Hendro</t>
  </si>
  <si>
    <t>Kode Material</t>
  </si>
  <si>
    <t>Description</t>
  </si>
  <si>
    <t>Qty</t>
  </si>
  <si>
    <t>Unit</t>
  </si>
  <si>
    <t>Unit Price</t>
  </si>
  <si>
    <t>Total Price</t>
  </si>
  <si>
    <t>No</t>
  </si>
  <si>
    <t>Total</t>
  </si>
  <si>
    <t>Jumlah</t>
  </si>
  <si>
    <t>PPN</t>
  </si>
  <si>
    <t>Terbilang</t>
  </si>
  <si>
    <t>Syarat dan Ketentuan (Commercial Terms and Conditions)</t>
  </si>
  <si>
    <t>Franco</t>
  </si>
  <si>
    <t>Delivery Time</t>
  </si>
  <si>
    <t>Terms Of Payment</t>
  </si>
  <si>
    <t>Qutation Validity</t>
  </si>
  <si>
    <t>Rekening Pembayaran</t>
  </si>
  <si>
    <t>Bank</t>
  </si>
  <si>
    <t>No. Rekening</t>
  </si>
  <si>
    <t>Cabang</t>
  </si>
  <si>
    <t>Bank Rakyat Indonesia (BRI)</t>
  </si>
  <si>
    <t>0343-01-003723-56-2</t>
  </si>
  <si>
    <t>Kc. Sudirman</t>
  </si>
  <si>
    <t>30 Days</t>
  </si>
  <si>
    <t>30 Days After Invoice</t>
  </si>
  <si>
    <t xml:space="preserve">Price include </t>
  </si>
  <si>
    <t>PPN 11%</t>
  </si>
  <si>
    <t>Terima kasih atas kepercayaan Anda kepada layanan dan penjualan kami. Kami berharap penawaran di atas sesuai dengan kebutuhan Anda. Apabila memerlukan klarifikasi lebih lanjut, jangan ragu untuk menghubungi kami. Sekali lagi, terima kasih atas perhatian dan kerja samanya.</t>
  </si>
  <si>
    <t xml:space="preserve">Hormat Kami, </t>
  </si>
  <si>
    <t>Pasya</t>
  </si>
  <si>
    <t>Sales Engineer</t>
  </si>
  <si>
    <t>Kable 4 Core</t>
  </si>
  <si>
    <t>Brand</t>
  </si>
  <si>
    <t>Type</t>
  </si>
  <si>
    <t>LiCYC 4x1.5 mmsq</t>
  </si>
  <si>
    <t>LiCYC</t>
  </si>
  <si>
    <t>Kable 8 Core</t>
  </si>
  <si>
    <t>Cable 12 Core</t>
  </si>
  <si>
    <t>LiCYC 8x1.5 mmsq</t>
  </si>
  <si>
    <t>LiCYC 12x1.5 mmsq</t>
  </si>
  <si>
    <t>m</t>
  </si>
  <si>
    <t>PLTU Punagaya</t>
  </si>
  <si>
    <t>12 Weeks</t>
  </si>
  <si>
    <t>Dua Ratus Enam Puluh Juta Delapan Ratus Lima Puluh Ribu Rupiah</t>
  </si>
  <si>
    <t>23 July 2026</t>
  </si>
  <si>
    <t>001/QUO-METITO/VII/2026</t>
  </si>
  <si>
    <t>Pengadaan Cable Instrument</t>
  </si>
  <si>
    <t>Clorine Liquid</t>
  </si>
  <si>
    <t>M-CHEM</t>
  </si>
  <si>
    <t xml:space="preserve">M-CHEM </t>
  </si>
  <si>
    <t>MC-NAOCL 10</t>
  </si>
  <si>
    <t xml:space="preserve">MC- TCCA90 </t>
  </si>
  <si>
    <t>MC- COUSTIC SODA 35</t>
  </si>
  <si>
    <t>Pail</t>
  </si>
  <si>
    <t>Coustic Soda</t>
  </si>
  <si>
    <t>TCCA Tablet</t>
  </si>
  <si>
    <t>CB86261</t>
  </si>
  <si>
    <t>CB86694</t>
  </si>
  <si>
    <t>CB86695</t>
  </si>
  <si>
    <t>18 Weeks</t>
  </si>
  <si>
    <t>25 July 2026</t>
  </si>
  <si>
    <t>Mr. Hendro</t>
  </si>
  <si>
    <t>Tiga Ratus Dua Puluh Tujuh Juta Empat Ratus Lima Puluh Ribu Rupiah</t>
  </si>
  <si>
    <t>Temsens</t>
  </si>
  <si>
    <t>003/SPH-METITO/VII/2026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</si>
</sst>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p&quot;* #,##0.00_-;\-&quot;Rp&quot;* #,##0.00_-;_-&quot;Rp&quot;* &quot;-&quot;??_-;_-@_-"/>
    <numFmt numFmtId="164" formatCode="_-&quot;Rp&quot;* #,##0_-;\-&quot;Rp&quot;* #,##0_-;_-&quot;Rp&quot;* &quot;-&quot;??_-;_-@_-"/>
  </numFmts>
  <fonts count="11" x14ac:knownFonts="1">
    <font>
      <sz val="11"/>
      <color theme="1"/>
      <name val="Calibri"/>
      <family val="2"/>
      <charset val="1"/>
      <scheme val="minor"/>
    </font>
    <font>
      <sz val="11"/>
      <color theme="1"/>
      <name val="Calibri"/>
      <family val="2"/>
      <charset val="1"/>
      <scheme val="minor"/>
    </font>
    <font>
      <sz val="10"/>
      <color theme="1"/>
      <name val="Times New Roman"/>
      <family val="1"/>
    </font>
    <font>
      <b/>
      <sz val="10"/>
      <color rgb="FF1B3A5C"/>
      <name val="Times New Roman"/>
      <family val="1"/>
    </font>
    <font>
      <sz val="11"/>
      <color theme="1"/>
      <name val="Times New Roman"/>
      <family val="1"/>
    </font>
    <font>
      <sz val="10"/>
      <color theme="1"/>
      <name val="Calibri"/>
      <family val="2"/>
      <charset val="1"/>
      <scheme val="minor"/>
    </font>
    <font>
      <sz val="10"/>
      <color rgb="FF1B3A5C"/>
      <name val="Times New Roman"/>
      <family val="1"/>
    </font>
    <font>
      <sz val="10"/>
      <color rgb="FF002060"/>
      <name val="Times New Roman"/>
      <family val="1"/>
    </font>
    <font>
      <b/>
      <sz val="18"/>
      <color rgb="FF1B3A5C"/>
      <name val="Times New Roman"/>
      <family val="1"/>
    </font>
    <font>
      <b/>
      <sz val="10"/>
      <color theme="1"/>
      <name val="Calibri"/>
      <family val="2"/>
      <scheme val="minor"/>
    </font>
    <font>
      <b/>
      <i/>
      <sz val="10"/>
      <color rgb="FF002060"/>
      <name val="Times New Roman"/>
      <family val="1"/>
    </font>
  </fonts>
  <fills count="4">
    <fill>
      <patternFill patternType="none"/>
    </fill>
    <fill>
      <patternFill patternType="gray125"/>
    </fill>
    <fill>
      <patternFill patternType="solid">
        <fgColor theme="0"/>
        <bgColor indexed="64"/>
      </patternFill>
    </fill>
    <fill>
      <patternFill patternType="solid">
        <fgColor theme="8" tint="0.7999816888943144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61">
    <xf numFmtId="0" fontId="0" fillId="0" borderId="0" xfId="0"/>
    <xf numFmtId="164" fontId="0" fillId="0" borderId="0" xfId="0" applyNumberFormat="1"/>
    <xf numFmtId="44" fontId="0" fillId="0" borderId="0" xfId="1" applyFont="1"/>
    <xf numFmtId="0" fontId="3" fillId="0" borderId="0" xfId="0" applyFont="1" applyAlignment="1">
      <alignment vertical="center"/>
    </xf>
    <xf numFmtId="0" fontId="4" fillId="0" borderId="0" xfId="0" applyFont="1"/>
    <xf numFmtId="0" fontId="5" fillId="0" borderId="0" xfId="0" applyFont="1"/>
    <xf numFmtId="0" fontId="3" fillId="0" borderId="0" xfId="0" applyFont="1" applyAlignment="1">
      <alignment horizontal="justify" vertical="center" wrapText="1"/>
    </xf>
    <xf numFmtId="44" fontId="5" fillId="0" borderId="0" xfId="1" applyFont="1"/>
    <xf numFmtId="164" fontId="5" fillId="0" borderId="0" xfId="0" applyNumberFormat="1" applyFont="1"/>
    <xf numFmtId="0" fontId="2" fillId="0" borderId="0" xfId="0" applyFont="1"/>
    <xf numFmtId="0" fontId="5" fillId="0" borderId="10" xfId="0" applyFont="1" applyBorder="1"/>
    <xf numFmtId="0" fontId="5" fillId="0" borderId="2" xfId="0" applyFont="1" applyBorder="1"/>
    <xf numFmtId="0" fontId="5" fillId="0" borderId="3" xfId="0" applyFont="1" applyBorder="1"/>
    <xf numFmtId="0" fontId="5" fillId="0" borderId="4" xfId="0" applyFont="1" applyBorder="1"/>
    <xf numFmtId="164" fontId="5" fillId="0" borderId="10" xfId="0" applyNumberFormat="1" applyFont="1" applyBorder="1"/>
    <xf numFmtId="0" fontId="5" fillId="0" borderId="11" xfId="0" applyFont="1" applyBorder="1"/>
    <xf numFmtId="0" fontId="5" fillId="0" borderId="5" xfId="0" applyFont="1" applyBorder="1"/>
    <xf numFmtId="0" fontId="5" fillId="0" borderId="6" xfId="0" applyFont="1" applyBorder="1"/>
    <xf numFmtId="164" fontId="5" fillId="0" borderId="11" xfId="0" applyNumberFormat="1" applyFont="1" applyBorder="1"/>
    <xf numFmtId="0" fontId="5" fillId="0" borderId="12" xfId="0" applyFont="1" applyBorder="1"/>
    <xf numFmtId="0" fontId="5" fillId="0" borderId="7" xfId="0" applyFont="1" applyBorder="1"/>
    <xf numFmtId="0" fontId="5" fillId="0" borderId="8" xfId="0" applyFont="1" applyBorder="1"/>
    <xf numFmtId="0" fontId="5" fillId="0" borderId="9" xfId="0" applyFont="1" applyBorder="1"/>
    <xf numFmtId="164" fontId="5" fillId="0" borderId="12" xfId="0" applyNumberFormat="1" applyFont="1" applyBorder="1"/>
    <xf numFmtId="44" fontId="2" fillId="0" borderId="0" xfId="1" applyFont="1"/>
    <xf numFmtId="164" fontId="2" fillId="0" borderId="0" xfId="0" applyNumberFormat="1" applyFont="1"/>
    <xf numFmtId="0" fontId="6" fillId="0" borderId="0" xfId="0" applyFont="1" applyAlignment="1">
      <alignment vertical="center"/>
    </xf>
    <xf numFmtId="1" fontId="2" fillId="0" borderId="0" xfId="0" applyNumberFormat="1" applyFont="1"/>
    <xf numFmtId="0" fontId="7" fillId="2" borderId="0" xfId="0" applyFont="1" applyFill="1"/>
    <xf numFmtId="0" fontId="2" fillId="3" borderId="13" xfId="0" applyFont="1" applyFill="1" applyBorder="1"/>
    <xf numFmtId="0" fontId="2" fillId="3" borderId="15" xfId="0" applyFont="1" applyFill="1" applyBorder="1"/>
    <xf numFmtId="0" fontId="2" fillId="3" borderId="14" xfId="0" applyFont="1" applyFill="1" applyBorder="1"/>
    <xf numFmtId="0" fontId="2" fillId="0" borderId="13" xfId="0" applyFont="1" applyBorder="1"/>
    <xf numFmtId="0" fontId="2" fillId="0" borderId="15" xfId="0" applyFont="1" applyBorder="1"/>
    <xf numFmtId="44" fontId="2" fillId="0" borderId="15" xfId="1" applyFont="1" applyBorder="1"/>
    <xf numFmtId="164" fontId="2" fillId="0" borderId="14" xfId="0" applyNumberFormat="1" applyFont="1" applyBorder="1"/>
    <xf numFmtId="0" fontId="5" fillId="0" borderId="0" xfId="0" applyFont="1" applyAlignment="1">
      <alignment horizontal="center"/>
    </xf>
    <xf numFmtId="164" fontId="9" fillId="0" borderId="1" xfId="0" applyNumberFormat="1" applyFont="1" applyBorder="1"/>
    <xf numFmtId="9" fontId="9" fillId="0" borderId="15" xfId="2" applyFont="1" applyBorder="1"/>
    <xf numFmtId="0" fontId="10" fillId="0" borderId="0" xfId="0" applyFont="1" applyAlignment="1">
      <alignment vertical="center"/>
    </xf>
    <xf numFmtId="0" fontId="2" fillId="3" borderId="1" xfId="0" applyFont="1" applyFill="1" applyBorder="1"/>
    <xf numFmtId="0" fontId="2" fillId="3" borderId="1" xfId="0" applyFont="1" applyFill="1" applyBorder="1" applyAlignment="1">
      <alignment horizontal="center"/>
    </xf>
    <xf numFmtId="164" fontId="2" fillId="3" borderId="1" xfId="0" applyNumberFormat="1" applyFont="1" applyFill="1" applyBorder="1" applyAlignment="1">
      <alignment horizontal="center" vertical="center"/>
    </xf>
    <xf numFmtId="0" fontId="8" fillId="0" borderId="0" xfId="0" applyFont="1" applyAlignment="1">
      <alignment horizontal="center" vertical="center"/>
    </xf>
    <xf numFmtId="0" fontId="10" fillId="0" borderId="3" xfId="0" applyFont="1" applyBorder="1" applyAlignment="1">
      <alignment horizontal="left" vertical="center"/>
    </xf>
    <xf numFmtId="0" fontId="9" fillId="0" borderId="13" xfId="0" applyFont="1" applyBorder="1" applyAlignment="1">
      <alignment horizontal="right"/>
    </xf>
    <xf numFmtId="0" fontId="9" fillId="0" borderId="15" xfId="0" applyFont="1" applyBorder="1" applyAlignment="1">
      <alignment horizontal="right"/>
    </xf>
    <xf numFmtId="44" fontId="9" fillId="0" borderId="13" xfId="1" applyFont="1" applyBorder="1" applyAlignment="1">
      <alignment horizontal="right"/>
    </xf>
    <xf numFmtId="44" fontId="9" fillId="0" borderId="15" xfId="1" applyFont="1" applyBorder="1" applyAlignment="1">
      <alignment horizontal="right"/>
    </xf>
    <xf numFmtId="0" fontId="2" fillId="0" borderId="0" xfId="0" applyFont="1" applyAlignment="1">
      <alignment horizontal="center" vertical="center" wrapText="1"/>
    </xf>
    <xf numFmtId="164" fontId="5" fillId="0" borderId="5" xfId="1" applyNumberFormat="1" applyFont="1" applyBorder="1" applyAlignment="1">
      <alignment horizontal="center"/>
    </xf>
    <xf numFmtId="164" fontId="5" fillId="0" borderId="6" xfId="1" applyNumberFormat="1" applyFont="1" applyBorder="1" applyAlignment="1">
      <alignment horizontal="center"/>
    </xf>
    <xf numFmtId="44" fontId="5" fillId="0" borderId="7" xfId="1" applyFont="1" applyBorder="1" applyAlignment="1">
      <alignment horizontal="center"/>
    </xf>
    <xf numFmtId="44" fontId="5" fillId="0" borderId="9" xfId="1" applyFont="1" applyBorder="1" applyAlignment="1">
      <alignment horizontal="center"/>
    </xf>
    <xf numFmtId="0" fontId="2" fillId="3" borderId="1" xfId="0" applyFont="1" applyFill="1" applyBorder="1" applyAlignment="1">
      <alignment horizontal="center"/>
    </xf>
    <xf numFmtId="164" fontId="2" fillId="3" borderId="13" xfId="0" applyNumberFormat="1" applyFont="1" applyFill="1" applyBorder="1" applyAlignment="1">
      <alignment horizontal="center" vertical="center"/>
    </xf>
    <xf numFmtId="164" fontId="2" fillId="3" borderId="14" xfId="0" applyNumberFormat="1" applyFont="1" applyFill="1" applyBorder="1" applyAlignment="1">
      <alignment horizontal="center" vertical="center"/>
    </xf>
    <xf numFmtId="164" fontId="5" fillId="0" borderId="2" xfId="1" applyNumberFormat="1" applyFont="1" applyBorder="1" applyAlignment="1">
      <alignment horizontal="center"/>
    </xf>
    <xf numFmtId="164" fontId="5" fillId="0" borderId="4" xfId="1" applyNumberFormat="1" applyFont="1" applyBorder="1" applyAlignment="1">
      <alignment horizontal="center"/>
    </xf>
    <xf numFmtId="44" fontId="5" fillId="0" borderId="5" xfId="1" applyFont="1" applyBorder="1" applyAlignment="1">
      <alignment horizontal="center"/>
    </xf>
    <xf numFmtId="44" fontId="5" fillId="0" borderId="6" xfId="1" applyFont="1" applyBorder="1" applyAlignment="1">
      <alignment horizontal="center"/>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customXml" Target="../ink/ink1.xml"/><Relationship Id="rId1" Type="http://schemas.openxmlformats.org/officeDocument/2006/relationships/image" Target="../media/image1.png"/><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customXml" Target="../ink/ink2.xml"/><Relationship Id="rId1" Type="http://schemas.openxmlformats.org/officeDocument/2006/relationships/image" Target="../media/image1.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customXml" Target="../ink/ink3.xml"/><Relationship Id="rId1" Type="http://schemas.openxmlformats.org/officeDocument/2006/relationships/image" Target="../media/image1.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10</xdr:col>
      <xdr:colOff>227106</xdr:colOff>
      <xdr:row>0</xdr:row>
      <xdr:rowOff>48745</xdr:rowOff>
    </xdr:from>
    <xdr:to>
      <xdr:col>15</xdr:col>
      <xdr:colOff>980329</xdr:colOff>
      <xdr:row>3</xdr:row>
      <xdr:rowOff>159683</xdr:rowOff>
    </xdr:to>
    <xdr:pic>
      <xdr:nvPicPr>
        <xdr:cNvPr id="3" name="Picture 2">
          <a:extLst>
            <a:ext uri="{FF2B5EF4-FFF2-40B4-BE49-F238E27FC236}">
              <a16:creationId xmlns:a16="http://schemas.microsoft.com/office/drawing/2014/main" id="{DC4CDA8B-5670-E40C-D2D3-8A2C6D9265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32231" y="48745"/>
          <a:ext cx="3324973" cy="777688"/>
        </a:xfrm>
        <a:prstGeom prst="rect">
          <a:avLst/>
        </a:prstGeom>
      </xdr:spPr>
    </xdr:pic>
    <xdr:clientData/>
  </xdr:twoCellAnchor>
  <xdr:twoCellAnchor>
    <xdr:from>
      <xdr:col>0</xdr:col>
      <xdr:colOff>142875</xdr:colOff>
      <xdr:row>40</xdr:row>
      <xdr:rowOff>38099</xdr:rowOff>
    </xdr:from>
    <xdr:to>
      <xdr:col>2</xdr:col>
      <xdr:colOff>85725</xdr:colOff>
      <xdr:row>43</xdr:row>
      <xdr:rowOff>56056</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4" name="Image1">
              <a:extLst>
                <a:ext uri="{FF2B5EF4-FFF2-40B4-BE49-F238E27FC236}">
                  <a16:creationId xmlns:a16="http://schemas.microsoft.com/office/drawing/2014/main" id="{A48D74ED-7D69-B504-6088-8BF54F5A4330}"/>
                </a:ext>
              </a:extLst>
            </xdr14:cNvPr>
            <xdr14:cNvContentPartPr>
              <a14:cpLocks xmlns:a14="http://schemas.microsoft.com/office/drawing/2010/main"/>
            </xdr14:cNvContentPartPr>
          </xdr14:nvContentPartPr>
          <xdr14:nvPr macro=""/>
          <xdr14:xfrm>
            <a:off x="142875" y="8096249"/>
            <a:ext cx="1152525" cy="589457"/>
          </xdr14:xfrm>
        </xdr:contentPart>
      </mc:Choice>
      <mc:Fallback xmlns="">
        <xdr:pic>
          <xdr:nvPicPr>
            <xdr:cNvPr id="4" name="Image1">
              <a:extLst>
                <a:ext uri="{FF2B5EF4-FFF2-40B4-BE49-F238E27FC236}">
                  <a16:creationId xmlns:a16="http://schemas.microsoft.com/office/drawing/2014/main" id="{A48D74ED-7D69-B504-6088-8BF54F5A4330}"/>
                </a:ext>
              </a:extLst>
            </xdr:cNvPr>
            <xdr:cNvPicPr>
              <a:picLocks/>
            </xdr:cNvPicPr>
          </xdr:nvPicPr>
          <xdr:blipFill>
            <a:blip xmlns:r="http://schemas.openxmlformats.org/officeDocument/2006/relationships" r:embed="rId3"/>
            <a:stretch>
              <a:fillRect/>
            </a:stretch>
          </xdr:blipFill>
          <xdr:spPr>
            <a:xfrm>
              <a:off x="139312" y="8092650"/>
              <a:ext cx="1159294" cy="596294"/>
            </a:xfrm>
            <a:prstGeom prst="rect">
              <a:avLst/>
            </a:prstGeom>
          </xdr:spPr>
        </xdr:pic>
      </mc:Fallback>
    </mc:AlternateContent>
    <xdr:clientData/>
  </xdr:twoCellAnchor>
  <xdr:twoCellAnchor editAs="oneCell">
    <xdr:from>
      <xdr:col>0</xdr:col>
      <xdr:colOff>0</xdr:colOff>
      <xdr:row>47</xdr:row>
      <xdr:rowOff>123265</xdr:rowOff>
    </xdr:from>
    <xdr:to>
      <xdr:col>15</xdr:col>
      <xdr:colOff>1154206</xdr:colOff>
      <xdr:row>50</xdr:row>
      <xdr:rowOff>151155</xdr:rowOff>
    </xdr:to>
    <xdr:pic>
      <xdr:nvPicPr>
        <xdr:cNvPr id="10" name="Picture 9">
          <a:extLst>
            <a:ext uri="{FF2B5EF4-FFF2-40B4-BE49-F238E27FC236}">
              <a16:creationId xmlns:a16="http://schemas.microsoft.com/office/drawing/2014/main" id="{DBE038A1-1EBF-82BC-474A-7E1C10953C3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9256059"/>
          <a:ext cx="6477000" cy="5993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227106</xdr:colOff>
      <xdr:row>0</xdr:row>
      <xdr:rowOff>48745</xdr:rowOff>
    </xdr:from>
    <xdr:to>
      <xdr:col>15</xdr:col>
      <xdr:colOff>980329</xdr:colOff>
      <xdr:row>3</xdr:row>
      <xdr:rowOff>159683</xdr:rowOff>
    </xdr:to>
    <xdr:pic>
      <xdr:nvPicPr>
        <xdr:cNvPr id="2" name="Picture 1">
          <a:extLst>
            <a:ext uri="{FF2B5EF4-FFF2-40B4-BE49-F238E27FC236}">
              <a16:creationId xmlns:a16="http://schemas.microsoft.com/office/drawing/2014/main" id="{D01CD2FD-166F-4F22-AC21-EDBF53ECFF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9831" y="48745"/>
          <a:ext cx="3334498" cy="777688"/>
        </a:xfrm>
        <a:prstGeom prst="rect">
          <a:avLst/>
        </a:prstGeom>
      </xdr:spPr>
    </xdr:pic>
    <xdr:clientData/>
  </xdr:twoCellAnchor>
  <xdr:twoCellAnchor>
    <xdr:from>
      <xdr:col>0</xdr:col>
      <xdr:colOff>142875</xdr:colOff>
      <xdr:row>40</xdr:row>
      <xdr:rowOff>38099</xdr:rowOff>
    </xdr:from>
    <xdr:to>
      <xdr:col>2</xdr:col>
      <xdr:colOff>85725</xdr:colOff>
      <xdr:row>43</xdr:row>
      <xdr:rowOff>56056</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3" name="Image1">
              <a:extLst>
                <a:ext uri="{FF2B5EF4-FFF2-40B4-BE49-F238E27FC236}">
                  <a16:creationId xmlns:a16="http://schemas.microsoft.com/office/drawing/2014/main" id="{F3B10C6A-183A-4DB1-A2F9-41FBF2A49456}"/>
                </a:ext>
              </a:extLst>
            </xdr14:cNvPr>
            <xdr14:cNvContentPartPr>
              <a14:cpLocks xmlns:a14="http://schemas.microsoft.com/office/drawing/2010/main"/>
            </xdr14:cNvContentPartPr>
          </xdr14:nvContentPartPr>
          <xdr14:nvPr macro=""/>
          <xdr14:xfrm>
            <a:off x="142875" y="8096249"/>
            <a:ext cx="1152525" cy="589457"/>
          </xdr14:xfrm>
        </xdr:contentPart>
      </mc:Choice>
      <mc:Fallback xmlns="">
        <xdr:pic>
          <xdr:nvPicPr>
            <xdr:cNvPr id="3" name="Image1">
              <a:extLst>
                <a:ext uri="{FF2B5EF4-FFF2-40B4-BE49-F238E27FC236}">
                  <a16:creationId xmlns:a16="http://schemas.microsoft.com/office/drawing/2014/main" id="{F3B10C6A-183A-4DB1-A2F9-41FBF2A49456}"/>
                </a:ext>
              </a:extLst>
            </xdr:cNvPr>
            <xdr:cNvPicPr>
              <a:picLocks/>
            </xdr:cNvPicPr>
          </xdr:nvPicPr>
          <xdr:blipFill>
            <a:blip xmlns:r="http://schemas.openxmlformats.org/officeDocument/2006/relationships" r:embed="rId3"/>
            <a:stretch>
              <a:fillRect/>
            </a:stretch>
          </xdr:blipFill>
          <xdr:spPr>
            <a:xfrm>
              <a:off x="139312" y="8092650"/>
              <a:ext cx="1159294" cy="596294"/>
            </a:xfrm>
            <a:prstGeom prst="rect">
              <a:avLst/>
            </a:prstGeom>
          </xdr:spPr>
        </xdr:pic>
      </mc:Fallback>
    </mc:AlternateContent>
    <xdr:clientData/>
  </xdr:twoCellAnchor>
  <xdr:twoCellAnchor editAs="oneCell">
    <xdr:from>
      <xdr:col>0</xdr:col>
      <xdr:colOff>0</xdr:colOff>
      <xdr:row>47</xdr:row>
      <xdr:rowOff>123265</xdr:rowOff>
    </xdr:from>
    <xdr:to>
      <xdr:col>15</xdr:col>
      <xdr:colOff>1154206</xdr:colOff>
      <xdr:row>50</xdr:row>
      <xdr:rowOff>151155</xdr:rowOff>
    </xdr:to>
    <xdr:pic>
      <xdr:nvPicPr>
        <xdr:cNvPr id="4" name="Picture 3">
          <a:extLst>
            <a:ext uri="{FF2B5EF4-FFF2-40B4-BE49-F238E27FC236}">
              <a16:creationId xmlns:a16="http://schemas.microsoft.com/office/drawing/2014/main" id="{332B9706-3221-4B1F-BEAE-FFC3E6665E6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9248215"/>
          <a:ext cx="6488206" cy="5993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227106</xdr:colOff>
      <xdr:row>0</xdr:row>
      <xdr:rowOff>48745</xdr:rowOff>
    </xdr:from>
    <xdr:to>
      <xdr:col>15</xdr:col>
      <xdr:colOff>980329</xdr:colOff>
      <xdr:row>3</xdr:row>
      <xdr:rowOff>159683</xdr:rowOff>
    </xdr:to>
    <xdr:pic>
      <xdr:nvPicPr>
        <xdr:cNvPr id="2" name="Picture 1">
          <a:extLst>
            <a:ext uri="{FF2B5EF4-FFF2-40B4-BE49-F238E27FC236}">
              <a16:creationId xmlns:a16="http://schemas.microsoft.com/office/drawing/2014/main" id="{702CF262-CDE4-4567-8C71-16DCCE8904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9831" y="48745"/>
          <a:ext cx="3334498" cy="777688"/>
        </a:xfrm>
        <a:prstGeom prst="rect">
          <a:avLst/>
        </a:prstGeom>
      </xdr:spPr>
    </xdr:pic>
    <xdr:clientData/>
  </xdr:twoCellAnchor>
  <xdr:twoCellAnchor>
    <xdr:from>
      <xdr:col>0</xdr:col>
      <xdr:colOff>142875</xdr:colOff>
      <xdr:row>40</xdr:row>
      <xdr:rowOff>38099</xdr:rowOff>
    </xdr:from>
    <xdr:to>
      <xdr:col>2</xdr:col>
      <xdr:colOff>85725</xdr:colOff>
      <xdr:row>43</xdr:row>
      <xdr:rowOff>56056</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3" name="Image1">
              <a:extLst>
                <a:ext uri="{FF2B5EF4-FFF2-40B4-BE49-F238E27FC236}">
                  <a16:creationId xmlns:a16="http://schemas.microsoft.com/office/drawing/2014/main" id="{2A04C37C-95BE-4FE4-9C09-F825B3CF79B1}"/>
                </a:ext>
              </a:extLst>
            </xdr14:cNvPr>
            <xdr14:cNvContentPartPr>
              <a14:cpLocks xmlns:a14="http://schemas.microsoft.com/office/drawing/2010/main"/>
            </xdr14:cNvContentPartPr>
          </xdr14:nvContentPartPr>
          <xdr14:nvPr macro=""/>
          <xdr14:xfrm>
            <a:off x="142875" y="8096249"/>
            <a:ext cx="1152525" cy="589457"/>
          </xdr14:xfrm>
        </xdr:contentPart>
      </mc:Choice>
      <mc:Fallback xmlns="">
        <xdr:pic>
          <xdr:nvPicPr>
            <xdr:cNvPr id="3" name="Image1">
              <a:extLst>
                <a:ext uri="{FF2B5EF4-FFF2-40B4-BE49-F238E27FC236}">
                  <a16:creationId xmlns:a16="http://schemas.microsoft.com/office/drawing/2014/main" id="{2A04C37C-95BE-4FE4-9C09-F825B3CF79B1}"/>
                </a:ext>
              </a:extLst>
            </xdr:cNvPr>
            <xdr:cNvPicPr>
              <a:picLocks/>
            </xdr:cNvPicPr>
          </xdr:nvPicPr>
          <xdr:blipFill>
            <a:blip xmlns:r="http://schemas.openxmlformats.org/officeDocument/2006/relationships" r:embed="rId3"/>
            <a:stretch>
              <a:fillRect/>
            </a:stretch>
          </xdr:blipFill>
          <xdr:spPr>
            <a:xfrm>
              <a:off x="139312" y="8092650"/>
              <a:ext cx="1159294" cy="596294"/>
            </a:xfrm>
            <a:prstGeom prst="rect">
              <a:avLst/>
            </a:prstGeom>
          </xdr:spPr>
        </xdr:pic>
      </mc:Fallback>
    </mc:AlternateContent>
    <xdr:clientData/>
  </xdr:twoCellAnchor>
  <xdr:twoCellAnchor editAs="oneCell">
    <xdr:from>
      <xdr:col>0</xdr:col>
      <xdr:colOff>0</xdr:colOff>
      <xdr:row>47</xdr:row>
      <xdr:rowOff>123265</xdr:rowOff>
    </xdr:from>
    <xdr:to>
      <xdr:col>15</xdr:col>
      <xdr:colOff>1154206</xdr:colOff>
      <xdr:row>50</xdr:row>
      <xdr:rowOff>151155</xdr:rowOff>
    </xdr:to>
    <xdr:pic>
      <xdr:nvPicPr>
        <xdr:cNvPr id="4" name="Picture 3">
          <a:extLst>
            <a:ext uri="{FF2B5EF4-FFF2-40B4-BE49-F238E27FC236}">
              <a16:creationId xmlns:a16="http://schemas.microsoft.com/office/drawing/2014/main" id="{C923F68C-4542-40B5-93F9-75630DB7A90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9248215"/>
          <a:ext cx="6488206" cy="599390"/>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units="cm"/>
          <inkml:channel name="Y" type="integer" units="cm"/>
          <inkml:channel name="F" type="integer" max="1023" units="dev"/>
        </inkml:traceFormat>
        <inkml:channelProperties>
          <inkml:channelProperty channel="X" name="resolution" value="28.36041" units="1/cm"/>
          <inkml:channelProperty channel="Y" name="resolution" value="28.36041" units="1/cm"/>
          <inkml:channelProperty channel="F" name="resolution" value="1" units="1/dev"/>
        </inkml:channelProperties>
      </inkml:inkSource>
      <inkml:timestamp xml:id="ts0" timeString="2026-07-23T04:00:20.701"/>
    </inkml:context>
    <inkml:brush xml:id="br0">
      <inkml:brushProperty name="width" value="0.01984" units="cm"/>
      <inkml:brushProperty name="height" value="0.01984" units="cm"/>
      <inkml:brushProperty name="fitToCurve" value="1"/>
    </inkml:brush>
  </inkml:definitions>
  <inkml:trace contextRef="#ctx0" brushRef="#br0">203 350 136,'0'-36'1,"0"1"26,-9-1 72,23 91 36,-4-14-103,-1-6-4,6 21 3,-6-20-17,8 19 11,-8-16-13,1 0-1,2 6 1,7 15 8,-7-19-12,2-1-1,-4 4-1,9 18 3,-9-24-7,2-2-3,0 6-1,4 11-5,6 9-5,4 14-18,-7-25 3,3 9-14,-8-19 0,1 5-22,1 0-9,-4-3-22</inkml:trace>
  <inkml:trace contextRef="#ctx0" brushRef="#br0" timeOffset="1">0 376 143,'22'-40'-4,"16"2"20,5 2 9,33-10 10,-4 4 3,-5 11-12,-12 8-4,15-3 2,-3 2-3,-3 6-3,13 6 0,-27 8-3,15 4-4,4 10-2,-5 25-10,-30 3-3,-17 2 2,-10 12 7,-24-3 5,0-11 1,-14 13 2,-5-5-2,-4-2-4,-20 10-5,14-11-5,-9 7-17,15-5-2,-6 1-10,8 5-13,9-15 1,8 8-4,9-6-18</inkml:trace>
  <inkml:trace contextRef="#ctx0" brushRef="#br0" timeOffset="2">440 984 136,'5'35'136,"14"18"-59,-5-15-47,-2 19 6,-4-11-21,-4 0-4,1 3-5,-2 8-4,-1-14-3,3 4-8,-3 9-8,8-6-3,6-10 0,13-4 4,21-83 11,-28 12 5,2-3-2,7-8-1,-2 3 0,-10 11 1,9-12 1,-6 0 2,4-5 1,3-7 1,-3 13 1,5-9 3,-2 8 1,0 7 1,0 5 1,4-1-1,1 79-2,-42-8-4,1-6-1,-2 12-1,-3 12-2,4-21 3,8 17 6,17-11 3,31-27-8,19-44-2,-12-3-5,-12-2-3,19-16-3,-11 2 8,-13 11 2,7-14 4,-11 7 3,2-5 0,-5-7 1,-7 12-2,-12-5-3,-3 4-3,-9-2-1,-12-7 0,-2 17 2,-10-10 5,-19-6 11,-5 10 9,-9 15 14,-15 34-2,-12 28-14,8 27-15,49-26-11,13 4-2,16 20-11,25-24 4,59 21-4,-36-29 12,15 1 5,-18-8 3,20 9 2,15 12 6,-15-9-2,19 15 6,-29-6-2,1 14 7,-27-8-15,-12-3-4,-5 1-4,-11 5-7,-3-11-3,-12 11-6,-7-9 0,-5-2 0,-15 6 3,-13 6-3,-3-16 11,-31 11 2,4-21 11,34-23-6,-35-15-6,-1-26-6,43 4 7,13 4 2,-1-19-4,17 18 3,-2-19-6,9 9 0,0-1-1,5-7-5,0 18 2,5-7-3,0-8-3,2-9 0,0-1-1,-2 18 3,4-6 0,1-5 2,-1-2 1,6 0 3,-6 20 2,1-11 3,2-2 3,-3-2 4,3 4 3,8-21 7,-6 30-4,-2-6 2,0 1 0,7-12 7,5-5-3,-10 12 0,1 7-2,-1-5 4,-7 2 22,-24 76 101,15 13-127,12 24 3,-3-38-11,2 4 0,1 5-4,4 18-1,-4-24-1,-1 6-4,6 1-1,-1 19-9,-4-23 5,4-2-2,-4 2 0,9 15-11,-10-23 14,15 31-4,-5-17 5,8 3 9,4 8 5,-5-23 1,22 12-1,9-8-30,1-22-54,-10-32 9,-10-16 31,-9-3 14,-8-3 18,-2-14 7,-2-2 14,-7 10 3,-1-20 7,-4 26-11,0-19 10,-3 17-10,0-1-2,6-6 1,-6-20 7,3 24-9,-3-3-2,1-3 0,1 18-1,1-8-1,2 0 0,1-1 0,1 4-1,5-10 5,10 1 3,5 1 7,12 6 31,16 84-9,-33 8-37,0 6-9,-12-8-2,-5-10 0,3-1-2,-6 8-1,6 22-11,-3-28 6,-4 3 0,1 5-3,-1-20 2,-3 8-1,0 5 1,0 0 1,-3 1 0,-1 20-8,1-27 15,-4 1 2,2 4 2,-9 14 0,4-25 4,1 3 1,-3 1 0,-5 17 2,5-22-1,-5 4 0,-9 14 3,-7 0 3,-8-3 7,10-11 5,-5 0 3,-10 3 12,-13-5 9,20-88-29,56 18-35,7-15-7,14-14-9,-11 28 15,-1-2 0,15-20-14,-13 23 20,3-2 2,3-6 1,16-21-6,-21 26 12,2-1 3,5 3 4,12-18 3,12 1 16,-13 15 7,18-1 18,-15 16-1,8 9 8,-49 60-3,-38 18-42,3-21-14,-7 29-11,14-13-3,21-16-29,58-33-52,-8-32 65,1-15 18,-10 5 13,-2-4 11,-10 4 9,0-1 12,2-2 21,-2 96 152,-42-4-268,6-10-57,14-14-73</inkml:trace>
  <inkml:trace contextRef="#ctx0" brushRef="#br0" timeOffset="3">3105 368 266,'-60'0'-39,"-4"14"79,2 10 13,4 4-14,-21 18 14,12 3-17,19-9-2,-7 16 11,27-25-20,-8 15 23,-3 13 5,8 15 15,19-25-38,12-9-9,5-5-11,14 1-10,15-2-13,47 9-60,-26-36 23,-7-3 2,21-11-15,37-17-43,-13-2 30,-43 8 35,39-14-30,-18-1 2,-23 9-42</inkml:trace>
</inkml:ink>
</file>

<file path=xl/ink/ink2.xml><?xml version="1.0" encoding="utf-8"?>
<inkml:ink xmlns:inkml="http://www.w3.org/2003/InkML">
  <inkml:definitions>
    <inkml:context xml:id="ctx0">
      <inkml:inkSource xml:id="inkSrc0">
        <inkml:traceFormat>
          <inkml:channel name="X" type="integer" units="cm"/>
          <inkml:channel name="Y" type="integer" units="cm"/>
          <inkml:channel name="F" type="integer" max="1023" units="dev"/>
        </inkml:traceFormat>
        <inkml:channelProperties>
          <inkml:channelProperty channel="X" name="resolution" value="28.36041" units="1/cm"/>
          <inkml:channelProperty channel="Y" name="resolution" value="28.36041" units="1/cm"/>
          <inkml:channelProperty channel="F" name="resolution" value="1" units="1/dev"/>
        </inkml:channelProperties>
      </inkml:inkSource>
      <inkml:timestamp xml:id="ts0" timeString="2026-07-24T06:49:45.903"/>
    </inkml:context>
    <inkml:brush xml:id="br0">
      <inkml:brushProperty name="width" value="0.01984" units="cm"/>
      <inkml:brushProperty name="height" value="0.01984" units="cm"/>
      <inkml:brushProperty name="fitToCurve" value="1"/>
    </inkml:brush>
  </inkml:definitions>
  <inkml:trace contextRef="#ctx0" brushRef="#br0">203 350 136,'0'-36'1,"0"1"26,-9-1 72,23 91 36,-4-14-103,-1-6-4,6 21 3,-6-20-17,8 19 11,-7-16-13,-1 0-1,3 6 1,7 15 8,-7-19-12,2-1-1,-4 4-1,9 18 3,-9-24-7,2-2-3,0 6-1,4 11-5,6 9-5,4 14-18,-7-25 3,3 9-14,-8-19 0,1 5-22,1 0-9,-4-3-22</inkml:trace>
  <inkml:trace contextRef="#ctx0" brushRef="#br0" timeOffset="22.69">0 376 143,'22'-40'-4,"16"2"20,5 2 9,33-10 10,-4 4 3,-5 11-12,-12 8-4,15-3 2,-3 2-3,-3 6-3,13 6 0,-27 8-3,15 4-4,4 10-2,-5 25-10,-30 3-3,-17 2 2,-10 12 7,-24-3 5,0-11 1,-14 13 2,-5-5-2,-4-2-4,-20 10-5,14-11-5,-9 7-17,15-5-2,-6 1-10,8 5-13,9-15 1,8 8-4,9-6-18</inkml:trace>
  <inkml:trace contextRef="#ctx0" brushRef="#br0" timeOffset="23.69">440 984 136,'5'35'136,"14"18"-59,-5-15-47,-2 19 6,-4-11-21,-4 0-4,1 3-5,-2 8-4,-1-14-3,3 4-8,-3 9-8,8-6-3,6-10 0,13-4 4,21-83 11,-28 12 5,2-3-2,7-8-1,-2 3 0,-10 11 1,9-12 1,-6 0 2,4-5 1,3-7 1,-3 13 1,5-9 3,-2 8 1,0 7 1,0 5 1,4-1-1,1 79-2,-42-8-4,1-6-1,-2 12-1,-3 12-2,4-21 3,8 17 6,17-11 3,31-27-8,19-44-2,-12-3-5,-12-2-3,19-16-3,-11 2 8,-13 11 2,7-14 4,-11 7 3,2-5 0,-5-7 1,-7 12-2,-12-5-3,-3 4-3,-9-2-1,-12-7 0,-2 17 2,-10-10 5,-19-6 11,-5 10 9,-9 15 14,-15 34-2,-12 28-14,8 27-15,49-26-11,13 4-2,16 20-11,25-24 4,59 21-4,-36-29 12,15 1 5,-18-8 3,20 9 2,15 12 6,-15-9-2,19 15 6,-29-6-2,1 14 7,-27-8-15,-12-3-4,-5 1-4,-11 5-7,-3-11-3,-12 11-6,-7-9 0,-5-2 0,-15 6 3,-13 6-3,-3-16 11,-31 11 2,4-21 11,34-23-6,-35-15-6,-1-26-6,43 4 7,13 4 2,-1-19-4,17 18 3,-2-19-6,9 9 0,0-1-1,5-7-5,0 18 2,5-7-3,0-8-3,2-9 0,0-1-1,-2 18 3,4-6 0,1-5 2,-1-2 1,6 0 3,-6 20 2,1-11 3,2-2 3,-3-2 4,3 4 3,8-21 7,-6 30-4,-2-6 2,0 1 0,7-12 7,5-5-3,-10 12 0,1 7-2,-1-5 4,-7 2 22,-24 76 101,15 13-127,12 24 3,-3-38-11,2 4 0,1 5-4,4 18-1,-4-24-1,-1 6-4,6 1-1,-1 19-9,-4-23 5,4-2-2,-4 2 0,9 15-11,-10-23 14,15 31-4,-5-17 5,8 3 9,4 8 5,-5-23 1,22 12-1,9-8-30,1-22-54,-10-32 9,-10-16 31,-9-3 14,-8-3 18,-2-14 7,-2-2 14,-7 10 3,-1-20 7,-4 26-11,0-19 10,-3 17-10,0-1-2,6-6 1,-6-20 7,3 24-9,-3-3-2,1-3 0,1 18-1,1-8-1,2 0 0,1-1 0,1 4-1,5-10 5,10 1 3,5 1 7,12 6 31,16 84-9,-33 8-37,0 6-9,-12-8-2,-5-10 0,3-1-2,-6 8-1,6 22-11,-3-28 6,-4 3 0,1 5-3,-1-20 2,-3 8-1,0 5 1,0 0 1,-3 1 0,-1 20-8,1-27 15,-4 1 2,2 4 2,-9 14 0,4-25 4,1 3 1,-3 1 0,-5 17 2,5-22-1,-5 4 0,-9 14 3,-7 0 3,-8-3 7,10-11 5,-5 0 3,-10 3 12,-13-5 9,20-88-29,56 18-35,7-15-7,14-14-9,-11 28 15,-1-2 0,15-20-14,-13 23 20,3-2 2,3-6 1,16-21-6,-21 26 12,2-1 3,5 3 4,12-18 3,12 1 16,-13 15 7,18-1 18,-15 16-1,8 9 8,-49 60-3,-38 18-42,3-21-14,-7 29-11,14-13-3,21-16-29,58-33-52,-8-32 65,1-15 18,-10 5 13,-2-4 11,-10 4 9,0-1 12,2-2 21,-2 96 152,-42-4-268,6-10-57,14-14-73</inkml:trace>
  <inkml:trace contextRef="#ctx0" brushRef="#br0" timeOffset="24.69">3105 368 266,'-60'0'-39,"-4"14"79,2 10 13,4 4-14,-21 18 14,12 3-17,19-9-2,-7 16 11,27-25-20,-8 15 23,-3 13 5,8 15 15,19-25-38,12-9-9,5-5-11,14 1-10,15-2-13,47 9-60,-26-36 23,-7-3 2,21-11-15,37-17-43,-13-2 30,-43 8 35,39-14-30,-18-1 2,-23 9-42</inkml:trace>
</inkml:ink>
</file>

<file path=xl/ink/ink3.xml><?xml version="1.0" encoding="utf-8"?>
<inkml:ink xmlns:inkml="http://www.w3.org/2003/InkML">
  <inkml:definitions>
    <inkml:context xml:id="ctx0">
      <inkml:inkSource xml:id="inkSrc0">
        <inkml:traceFormat>
          <inkml:channel name="X" type="integer" units="cm"/>
          <inkml:channel name="Y" type="integer" units="cm"/>
          <inkml:channel name="F" type="integer" max="1023" units="dev"/>
        </inkml:traceFormat>
        <inkml:channelProperties>
          <inkml:channelProperty channel="X" name="resolution" value="28.36041" units="1/cm"/>
          <inkml:channelProperty channel="Y" name="resolution" value="28.36041" units="1/cm"/>
          <inkml:channelProperty channel="F" name="resolution" value="1" units="1/dev"/>
        </inkml:channelProperties>
      </inkml:inkSource>
      <inkml:timestamp xml:id="ts0" timeString="2026-07-25T00:17:16.998"/>
    </inkml:context>
    <inkml:brush xml:id="br0">
      <inkml:brushProperty name="width" value="0.01984" units="cm"/>
      <inkml:brushProperty name="height" value="0.01984" units="cm"/>
      <inkml:brushProperty name="fitToCurve" value="1"/>
    </inkml:brush>
  </inkml:definitions>
  <inkml:trace contextRef="#ctx0" brushRef="#br0">203 350 136,'0'-36'1,"0"1"26,-9-1 72,23 91 36,-4-14-103,-1-6-4,6 21 3,-6-20-17,8 19 11,-7-16-13,-1 0-1,3 6 1,7 15 8,-7-19-12,2-1-1,-4 4-1,9 18 3,-9-24-7,2-2-3,0 6-1,4 11-5,6 9-5,4 14-18,-7-25 3,3 9-14,-8-19 0,1 5-22,1 0-9,-4-3-22</inkml:trace>
  <inkml:trace contextRef="#ctx0" brushRef="#br0" timeOffset="4.75">0 376 143,'22'-40'-4,"16"2"20,5 2 9,33-10 10,-4 4 3,-5 11-12,-12 8-4,15-3 2,-3 2-3,-3 6-3,13 6 0,-27 8-3,15 4-4,4 10-2,-5 25-10,-30 3-3,-17 2 2,-10 12 7,-24-3 5,0-11 1,-14 13 2,-5-5-2,-4-2-4,-20 10-5,14-11-5,-9 7-17,15-5-2,-6 1-10,8 5-13,9-15 1,8 8-4,9-6-18</inkml:trace>
  <inkml:trace contextRef="#ctx0" brushRef="#br0" timeOffset="5.75">440 984 136,'5'35'136,"14"18"-59,-5-15-47,-2 19 6,-4-11-21,-4 0-4,1 3-5,-2 8-4,-1-14-3,3 4-8,-3 9-8,8-6-3,6-10 0,13-4 4,21-83 11,-28 12 5,2-3-2,7-8-1,-2 3 0,-10 11 1,9-12 1,-6 0 2,4-5 1,3-7 1,-3 13 1,5-9 3,-2 8 1,0 7 1,0 5 1,4-1-1,1 79-2,-42-8-4,1-6-1,-2 12-1,-3 12-2,4-21 3,8 17 6,17-11 3,31-27-8,19-44-2,-12-3-5,-12-2-3,19-16-3,-11 2 8,-13 11 2,7-14 4,-11 7 3,2-5 0,-5-7 1,-7 12-2,-12-5-3,-3 4-3,-9-2-1,-12-7 0,-2 17 2,-10-10 5,-19-6 11,-5 10 9,-9 15 14,-15 34-2,-12 28-14,8 27-15,49-26-11,13 4-2,16 20-11,25-24 4,59 21-4,-36-29 12,15 1 5,-18-8 3,20 9 2,15 12 6,-15-9-2,19 15 6,-29-6-2,1 14 7,-27-8-15,-12-3-4,-5 1-4,-11 5-7,-3-11-3,-12 11-6,-7-9 0,-5-2 0,-15 6 3,-13 6-3,-3-16 11,-31 11 2,4-21 11,34-23-6,-35-15-6,-1-26-6,43 4 7,13 4 2,-1-19-4,17 18 3,-2-19-6,9 9 0,0-1-1,5-7-5,0 18 2,5-7-3,0-8-3,2-9 0,0-1-1,-2 18 3,4-6 0,1-5 2,-1-2 1,6 0 3,-6 20 2,1-11 3,2-2 3,-3-2 4,3 4 3,8-21 7,-6 30-4,-2-6 2,0 1 0,7-12 7,5-5-3,-10 12 0,1 7-2,-1-5 4,-7 2 22,-24 76 101,15 13-127,12 24 3,-3-38-11,2 4 0,1 5-4,4 18-1,-4-24-1,-1 6-4,6 1-1,-1 19-9,-4-23 5,4-2-2,-4 2 0,9 15-11,-10-23 14,15 31-4,-5-17 5,8 3 9,4 8 5,-5-23 1,22 12-1,9-8-30,1-22-54,-10-32 9,-10-16 31,-9-3 14,-8-3 18,-2-14 7,-2-2 14,-7 10 3,-1-20 7,-4 26-11,0-19 10,-3 17-10,0-1-2,6-6 1,-6-20 7,3 24-9,-3-3-2,1-3 0,1 18-1,1-8-1,2 0 0,1-1 0,1 4-1,5-10 5,10 1 3,5 1 7,12 6 31,16 84-9,-33 8-37,0 6-9,-12-8-2,-5-10 0,3-1-2,-6 8-1,6 22-11,-3-28 6,-4 3 0,1 5-3,-1-20 2,-3 8-1,0 5 1,0 0 1,-3 1 0,-1 20-8,1-27 15,-4 1 2,2 4 2,-9 14 0,4-25 4,1 3 1,-3 1 0,-5 17 2,5-22-1,-5 4 0,-9 14 3,-7 0 3,-8-3 7,10-11 5,-5 0 3,-10 3 12,-13-5 9,20-88-29,56 18-35,7-15-7,14-14-9,-11 28 15,-1-2 0,15-20-14,-13 23 20,3-2 2,3-6 1,16-21-6,-21 26 12,2-1 3,5 3 4,12-18 3,12 1 16,-13 15 7,18-1 18,-15 16-1,8 9 8,-49 60-3,-38 18-42,3-21-14,-7 29-11,14-13-3,21-16-29,58-33-52,-8-32 65,1-15 18,-10 5 13,-2-4 11,-10 4 9,0-1 12,2-2 21,-2 96 152,-42-4-268,6-10-57,14-14-73</inkml:trace>
  <inkml:trace contextRef="#ctx0" brushRef="#br0" timeOffset="6.75">3105 368 266,'-60'0'-39,"-4"14"79,2 10 13,4 4-14,-21 18 14,12 3-17,19-9-2,-7 16 11,27-25-20,-8 15 23,-3 13 5,8 15 15,19-25-38,12-9-9,5-5-11,14 1-10,15-2-13,47 9-60,-26-36 23,-7-3 2,21-11-15,37-17-43,-13-2 30,-43 8 35,39-14-30,-18-1 2,-23 9-42</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27F35-E26F-435D-B046-E079D1B9436F}">
  <dimension ref="A3:Q46"/>
  <sheetViews>
    <sheetView zoomScale="85" zoomScaleNormal="85" zoomScaleSheetLayoutView="85" workbookViewId="0">
      <selection activeCell="N12" sqref="N12:O12"/>
    </sheetView>
  </sheetViews>
  <sheetFormatPr defaultRowHeight="15" x14ac:dyDescent="0.25"/>
  <cols>
    <col min="1" max="1" width="3.5703125" bestFit="1" customWidth="1"/>
    <col min="2" max="2" width="14.7109375" customWidth="1"/>
    <col min="3" max="4" width="1.85546875" customWidth="1"/>
    <col min="5" max="5" width="1.7109375" bestFit="1" customWidth="1"/>
    <col min="6" max="6" width="6.7109375" customWidth="1"/>
    <col min="7" max="7" width="1.7109375" bestFit="1" customWidth="1"/>
    <col min="8" max="9" width="3.7109375" customWidth="1"/>
    <col min="10" max="10" width="1.7109375" customWidth="1"/>
    <col min="11" max="11" width="14.85546875" customWidth="1"/>
    <col min="12" max="12" width="4.140625" bestFit="1" customWidth="1"/>
    <col min="13" max="13" width="4.7109375" bestFit="1" customWidth="1"/>
    <col min="14" max="14" width="10.42578125" style="2" customWidth="1"/>
    <col min="15" max="15" width="4.5703125" style="1" bestFit="1" customWidth="1"/>
    <col min="16" max="16" width="17.7109375" style="1" customWidth="1"/>
  </cols>
  <sheetData>
    <row r="3" spans="1:16" ht="22.5" x14ac:dyDescent="0.25">
      <c r="B3" s="43" t="s">
        <v>0</v>
      </c>
      <c r="C3" s="43"/>
      <c r="D3" s="43"/>
      <c r="E3" s="43"/>
      <c r="F3" s="43"/>
      <c r="G3" s="43"/>
      <c r="H3" s="43"/>
    </row>
    <row r="5" spans="1:16" x14ac:dyDescent="0.25">
      <c r="A5" s="5"/>
      <c r="B5" s="6" t="s">
        <v>1</v>
      </c>
      <c r="C5" s="5" t="s">
        <v>3</v>
      </c>
      <c r="D5" s="5" t="s">
        <v>53</v>
      </c>
      <c r="E5" s="5"/>
      <c r="F5" s="5"/>
      <c r="G5" s="5"/>
      <c r="H5" s="5"/>
      <c r="I5" s="5"/>
      <c r="J5" s="5"/>
      <c r="K5" s="5"/>
      <c r="L5" s="5"/>
      <c r="M5" s="5"/>
      <c r="N5" s="7"/>
      <c r="O5" s="8"/>
      <c r="P5" s="8"/>
    </row>
    <row r="6" spans="1:16" x14ac:dyDescent="0.25">
      <c r="A6" s="5"/>
      <c r="B6" s="6" t="s">
        <v>2</v>
      </c>
      <c r="C6" s="5" t="s">
        <v>3</v>
      </c>
      <c r="D6" s="5" t="s">
        <v>54</v>
      </c>
      <c r="E6" s="5"/>
      <c r="F6" s="5"/>
      <c r="G6" s="5"/>
      <c r="H6" s="5"/>
      <c r="I6" s="5"/>
      <c r="J6" s="5"/>
      <c r="K6" s="5"/>
      <c r="L6" s="5"/>
      <c r="M6" s="5"/>
      <c r="N6" s="7"/>
      <c r="O6" s="8"/>
      <c r="P6" s="8"/>
    </row>
    <row r="7" spans="1:16" x14ac:dyDescent="0.25">
      <c r="A7" s="5"/>
      <c r="B7" s="5"/>
      <c r="C7" s="5"/>
      <c r="D7" s="5"/>
      <c r="E7" s="5"/>
      <c r="F7" s="5"/>
      <c r="G7" s="5"/>
      <c r="H7" s="5"/>
      <c r="I7" s="5"/>
      <c r="J7" s="5"/>
      <c r="K7" s="5"/>
      <c r="L7" s="5"/>
      <c r="M7" s="5"/>
      <c r="N7" s="7"/>
      <c r="O7" s="8"/>
      <c r="P7" s="8"/>
    </row>
    <row r="8" spans="1:16" x14ac:dyDescent="0.25">
      <c r="A8" s="5"/>
      <c r="B8" s="9" t="s">
        <v>4</v>
      </c>
      <c r="C8" s="9" t="s">
        <v>3</v>
      </c>
      <c r="D8" s="9" t="s">
        <v>5</v>
      </c>
      <c r="E8" s="9"/>
      <c r="F8" s="9"/>
      <c r="G8" s="9"/>
      <c r="H8" s="9"/>
      <c r="I8" s="9"/>
      <c r="J8" s="9"/>
      <c r="K8" s="5"/>
      <c r="L8" s="5"/>
      <c r="M8" s="5"/>
      <c r="N8" s="7"/>
      <c r="O8" s="8"/>
      <c r="P8" s="8"/>
    </row>
    <row r="9" spans="1:16" x14ac:dyDescent="0.25">
      <c r="A9" s="5"/>
      <c r="B9" s="9" t="s">
        <v>6</v>
      </c>
      <c r="C9" s="9" t="s">
        <v>3</v>
      </c>
      <c r="D9" s="9" t="s">
        <v>8</v>
      </c>
      <c r="E9" s="9"/>
      <c r="F9" s="9"/>
      <c r="G9" s="9"/>
      <c r="H9" s="9"/>
      <c r="I9" s="9"/>
      <c r="J9" s="9"/>
      <c r="K9" s="5"/>
      <c r="L9" s="5"/>
      <c r="M9" s="5"/>
      <c r="N9" s="7"/>
      <c r="O9" s="8"/>
      <c r="P9" s="8"/>
    </row>
    <row r="10" spans="1:16" x14ac:dyDescent="0.25">
      <c r="A10" s="5"/>
      <c r="B10" s="9" t="s">
        <v>7</v>
      </c>
      <c r="C10" s="9" t="s">
        <v>3</v>
      </c>
      <c r="D10" s="9" t="s">
        <v>55</v>
      </c>
      <c r="E10" s="9"/>
      <c r="F10" s="9"/>
      <c r="G10" s="9"/>
      <c r="H10" s="9"/>
      <c r="I10" s="9"/>
      <c r="J10" s="9"/>
      <c r="K10" s="5"/>
      <c r="L10" s="5"/>
      <c r="M10" s="5"/>
      <c r="N10" s="7"/>
      <c r="O10" s="8"/>
      <c r="P10" s="8"/>
    </row>
    <row r="11" spans="1:16" x14ac:dyDescent="0.25">
      <c r="A11" s="5"/>
      <c r="B11" s="5"/>
      <c r="C11" s="5"/>
      <c r="D11" s="5"/>
      <c r="E11" s="5"/>
      <c r="F11" s="5"/>
      <c r="G11" s="5"/>
      <c r="H11" s="5"/>
      <c r="I11" s="5"/>
      <c r="J11" s="5"/>
      <c r="K11" s="5"/>
      <c r="L11" s="5"/>
      <c r="M11" s="5"/>
      <c r="N11" s="7"/>
      <c r="O11" s="8"/>
      <c r="P11" s="8"/>
    </row>
    <row r="12" spans="1:16" x14ac:dyDescent="0.25">
      <c r="A12" s="40" t="s">
        <v>15</v>
      </c>
      <c r="B12" s="54" t="s">
        <v>9</v>
      </c>
      <c r="C12" s="54"/>
      <c r="D12" s="54"/>
      <c r="E12" s="54"/>
      <c r="F12" s="54" t="s">
        <v>10</v>
      </c>
      <c r="G12" s="54"/>
      <c r="H12" s="54"/>
      <c r="I12" s="54"/>
      <c r="J12" s="54"/>
      <c r="K12" s="54"/>
      <c r="L12" s="41" t="s">
        <v>11</v>
      </c>
      <c r="M12" s="41" t="s">
        <v>12</v>
      </c>
      <c r="N12" s="55" t="s">
        <v>13</v>
      </c>
      <c r="O12" s="56"/>
      <c r="P12" s="42" t="s">
        <v>14</v>
      </c>
    </row>
    <row r="13" spans="1:16" x14ac:dyDescent="0.25">
      <c r="A13" s="10">
        <v>2</v>
      </c>
      <c r="B13" s="11" t="s">
        <v>40</v>
      </c>
      <c r="C13" s="12"/>
      <c r="D13" s="12"/>
      <c r="E13" s="13"/>
      <c r="F13" s="11" t="s">
        <v>41</v>
      </c>
      <c r="G13" s="12" t="s">
        <v>3</v>
      </c>
      <c r="H13" s="12" t="s">
        <v>44</v>
      </c>
      <c r="I13" s="12"/>
      <c r="J13" s="12"/>
      <c r="K13" s="13"/>
      <c r="L13" s="10">
        <v>500</v>
      </c>
      <c r="M13" s="10" t="s">
        <v>49</v>
      </c>
      <c r="N13" s="57">
        <v>100000</v>
      </c>
      <c r="O13" s="58"/>
      <c r="P13" s="14">
        <f>L13*N13</f>
        <v>50000000</v>
      </c>
    </row>
    <row r="14" spans="1:16" x14ac:dyDescent="0.25">
      <c r="A14" s="15"/>
      <c r="B14" s="16"/>
      <c r="C14" s="5"/>
      <c r="D14" s="5"/>
      <c r="E14" s="17"/>
      <c r="F14" s="16" t="s">
        <v>42</v>
      </c>
      <c r="G14" s="5" t="s">
        <v>3</v>
      </c>
      <c r="H14" s="5" t="s">
        <v>43</v>
      </c>
      <c r="I14" s="5"/>
      <c r="J14" s="5"/>
      <c r="K14" s="17"/>
      <c r="L14" s="15"/>
      <c r="M14" s="15"/>
      <c r="N14" s="59"/>
      <c r="O14" s="60"/>
      <c r="P14" s="18"/>
    </row>
    <row r="15" spans="1:16" x14ac:dyDescent="0.25">
      <c r="A15" s="15">
        <v>2</v>
      </c>
      <c r="B15" s="16" t="s">
        <v>45</v>
      </c>
      <c r="C15" s="5"/>
      <c r="D15" s="5"/>
      <c r="E15" s="17"/>
      <c r="F15" s="16" t="s">
        <v>41</v>
      </c>
      <c r="G15" s="5" t="s">
        <v>3</v>
      </c>
      <c r="H15" s="5" t="s">
        <v>44</v>
      </c>
      <c r="I15" s="5"/>
      <c r="J15" s="5"/>
      <c r="K15" s="17"/>
      <c r="L15" s="15">
        <v>500</v>
      </c>
      <c r="M15" s="15" t="s">
        <v>49</v>
      </c>
      <c r="N15" s="50">
        <v>150000</v>
      </c>
      <c r="O15" s="51"/>
      <c r="P15" s="18">
        <f t="shared" ref="P15:P17" si="0">L15*N15</f>
        <v>75000000</v>
      </c>
    </row>
    <row r="16" spans="1:16" x14ac:dyDescent="0.25">
      <c r="A16" s="15"/>
      <c r="B16" s="16"/>
      <c r="C16" s="5"/>
      <c r="D16" s="5"/>
      <c r="E16" s="17"/>
      <c r="F16" s="16" t="s">
        <v>42</v>
      </c>
      <c r="G16" s="5" t="s">
        <v>3</v>
      </c>
      <c r="H16" s="5" t="s">
        <v>47</v>
      </c>
      <c r="I16" s="5"/>
      <c r="J16" s="5"/>
      <c r="K16" s="17"/>
      <c r="L16" s="15"/>
      <c r="M16" s="15"/>
      <c r="N16" s="50"/>
      <c r="O16" s="51"/>
      <c r="P16" s="18"/>
    </row>
    <row r="17" spans="1:17" x14ac:dyDescent="0.25">
      <c r="A17" s="15">
        <v>3</v>
      </c>
      <c r="B17" s="16" t="s">
        <v>46</v>
      </c>
      <c r="C17" s="5"/>
      <c r="D17" s="5"/>
      <c r="E17" s="17"/>
      <c r="F17" s="16" t="s">
        <v>41</v>
      </c>
      <c r="G17" s="5" t="s">
        <v>3</v>
      </c>
      <c r="H17" s="5" t="s">
        <v>44</v>
      </c>
      <c r="I17" s="5"/>
      <c r="J17" s="5"/>
      <c r="K17" s="17"/>
      <c r="L17" s="15">
        <v>500</v>
      </c>
      <c r="M17" s="15" t="s">
        <v>49</v>
      </c>
      <c r="N17" s="50">
        <v>220000</v>
      </c>
      <c r="O17" s="51"/>
      <c r="P17" s="18">
        <f t="shared" si="0"/>
        <v>110000000</v>
      </c>
    </row>
    <row r="18" spans="1:17" x14ac:dyDescent="0.25">
      <c r="A18" s="19"/>
      <c r="B18" s="20"/>
      <c r="C18" s="21"/>
      <c r="D18" s="21"/>
      <c r="E18" s="22"/>
      <c r="F18" s="16" t="s">
        <v>42</v>
      </c>
      <c r="G18" s="5" t="s">
        <v>3</v>
      </c>
      <c r="H18" s="5" t="s">
        <v>48</v>
      </c>
      <c r="I18" s="5"/>
      <c r="J18" s="21"/>
      <c r="K18" s="22"/>
      <c r="L18" s="19"/>
      <c r="M18" s="19"/>
      <c r="N18" s="52"/>
      <c r="O18" s="53"/>
      <c r="P18" s="23"/>
    </row>
    <row r="19" spans="1:17" x14ac:dyDescent="0.25">
      <c r="A19" s="45" t="s">
        <v>17</v>
      </c>
      <c r="B19" s="46"/>
      <c r="C19" s="46"/>
      <c r="D19" s="46"/>
      <c r="E19" s="46"/>
      <c r="F19" s="46"/>
      <c r="G19" s="46"/>
      <c r="H19" s="46"/>
      <c r="I19" s="46"/>
      <c r="J19" s="46"/>
      <c r="K19" s="46"/>
      <c r="L19" s="46"/>
      <c r="M19" s="46"/>
      <c r="N19" s="46"/>
      <c r="O19" s="46"/>
      <c r="P19" s="37">
        <f>SUM(P13:P17)</f>
        <v>235000000</v>
      </c>
    </row>
    <row r="20" spans="1:17" x14ac:dyDescent="0.25">
      <c r="A20" s="47" t="s">
        <v>18</v>
      </c>
      <c r="B20" s="48"/>
      <c r="C20" s="48"/>
      <c r="D20" s="48"/>
      <c r="E20" s="48"/>
      <c r="F20" s="48"/>
      <c r="G20" s="48"/>
      <c r="H20" s="48"/>
      <c r="I20" s="48"/>
      <c r="J20" s="48"/>
      <c r="K20" s="48"/>
      <c r="L20" s="48"/>
      <c r="M20" s="48"/>
      <c r="N20" s="48"/>
      <c r="O20" s="38">
        <v>0.11</v>
      </c>
      <c r="P20" s="37">
        <f>P19*O20</f>
        <v>25850000</v>
      </c>
    </row>
    <row r="21" spans="1:17" x14ac:dyDescent="0.25">
      <c r="A21" s="45" t="s">
        <v>16</v>
      </c>
      <c r="B21" s="46"/>
      <c r="C21" s="46"/>
      <c r="D21" s="46"/>
      <c r="E21" s="46"/>
      <c r="F21" s="46"/>
      <c r="G21" s="46"/>
      <c r="H21" s="46"/>
      <c r="I21" s="46"/>
      <c r="J21" s="46"/>
      <c r="K21" s="46"/>
      <c r="L21" s="46"/>
      <c r="M21" s="46"/>
      <c r="N21" s="46"/>
      <c r="O21" s="46"/>
      <c r="P21" s="37">
        <f>P19+P20</f>
        <v>260850000</v>
      </c>
    </row>
    <row r="22" spans="1:17" ht="21" customHeight="1" x14ac:dyDescent="0.25">
      <c r="A22" s="9"/>
      <c r="B22" s="39" t="s">
        <v>19</v>
      </c>
      <c r="C22" s="39" t="s">
        <v>3</v>
      </c>
      <c r="D22" s="44" t="s">
        <v>52</v>
      </c>
      <c r="E22" s="44"/>
      <c r="F22" s="44"/>
      <c r="G22" s="44"/>
      <c r="H22" s="44"/>
      <c r="I22" s="44"/>
      <c r="J22" s="44"/>
      <c r="K22" s="44"/>
      <c r="L22" s="44"/>
      <c r="M22" s="44"/>
      <c r="N22" s="44"/>
      <c r="O22" s="44"/>
      <c r="P22" s="44"/>
      <c r="Q22" s="4"/>
    </row>
    <row r="23" spans="1:17" x14ac:dyDescent="0.25">
      <c r="A23" s="9"/>
      <c r="B23" s="9"/>
      <c r="C23" s="9"/>
      <c r="D23" s="9"/>
      <c r="E23" s="9"/>
      <c r="F23" s="9"/>
      <c r="G23" s="9"/>
      <c r="H23" s="9"/>
      <c r="I23" s="9"/>
      <c r="J23" s="9"/>
      <c r="K23" s="9"/>
      <c r="L23" s="9"/>
      <c r="M23" s="9"/>
      <c r="N23" s="24"/>
      <c r="O23" s="25"/>
      <c r="P23" s="25"/>
      <c r="Q23" s="4"/>
    </row>
    <row r="24" spans="1:17" x14ac:dyDescent="0.25">
      <c r="A24" s="9"/>
      <c r="B24" s="26" t="s">
        <v>20</v>
      </c>
      <c r="C24" s="3"/>
      <c r="D24" s="3"/>
      <c r="E24" s="3"/>
      <c r="F24" s="3"/>
      <c r="G24" s="3"/>
      <c r="H24" s="3"/>
      <c r="I24" s="3"/>
      <c r="J24" s="9"/>
      <c r="K24" s="9"/>
      <c r="L24" s="9"/>
      <c r="M24" s="9"/>
      <c r="N24" s="24"/>
      <c r="O24" s="25"/>
      <c r="P24" s="25"/>
      <c r="Q24" s="4"/>
    </row>
    <row r="25" spans="1:17" x14ac:dyDescent="0.25">
      <c r="A25" s="27">
        <v>1</v>
      </c>
      <c r="B25" s="9" t="s">
        <v>34</v>
      </c>
      <c r="C25" s="9"/>
      <c r="D25" s="9"/>
      <c r="E25" s="9" t="s">
        <v>3</v>
      </c>
      <c r="F25" s="9" t="s">
        <v>35</v>
      </c>
      <c r="G25" s="9"/>
      <c r="H25" s="9"/>
      <c r="I25" s="9"/>
      <c r="J25" s="9"/>
      <c r="K25" s="9"/>
      <c r="L25" s="9"/>
      <c r="M25" s="9"/>
      <c r="N25" s="24"/>
      <c r="O25" s="25"/>
      <c r="P25" s="25"/>
      <c r="Q25" s="4"/>
    </row>
    <row r="26" spans="1:17" x14ac:dyDescent="0.25">
      <c r="A26" s="9">
        <v>2</v>
      </c>
      <c r="B26" s="9" t="s">
        <v>21</v>
      </c>
      <c r="C26" s="9"/>
      <c r="D26" s="9"/>
      <c r="E26" s="9" t="s">
        <v>3</v>
      </c>
      <c r="F26" s="9" t="s">
        <v>50</v>
      </c>
      <c r="G26" s="9"/>
      <c r="H26" s="9"/>
      <c r="I26" s="9"/>
      <c r="J26" s="9"/>
      <c r="K26" s="9"/>
      <c r="L26" s="9"/>
      <c r="M26" s="9"/>
      <c r="N26" s="24"/>
      <c r="O26" s="25"/>
      <c r="P26" s="25"/>
      <c r="Q26" s="4"/>
    </row>
    <row r="27" spans="1:17" x14ac:dyDescent="0.25">
      <c r="A27" s="9">
        <v>3</v>
      </c>
      <c r="B27" s="9" t="s">
        <v>22</v>
      </c>
      <c r="C27" s="9"/>
      <c r="D27" s="9"/>
      <c r="E27" s="9" t="s">
        <v>3</v>
      </c>
      <c r="F27" s="9" t="s">
        <v>51</v>
      </c>
      <c r="G27" s="9"/>
      <c r="H27" s="9"/>
      <c r="I27" s="9"/>
      <c r="J27" s="9"/>
      <c r="K27" s="9"/>
      <c r="L27" s="9"/>
      <c r="M27" s="9"/>
      <c r="N27" s="24"/>
      <c r="O27" s="25"/>
      <c r="P27" s="25"/>
      <c r="Q27" s="4"/>
    </row>
    <row r="28" spans="1:17" x14ac:dyDescent="0.25">
      <c r="A28" s="9">
        <v>4</v>
      </c>
      <c r="B28" s="9" t="s">
        <v>23</v>
      </c>
      <c r="C28" s="9"/>
      <c r="D28" s="9"/>
      <c r="E28" s="9" t="s">
        <v>3</v>
      </c>
      <c r="F28" s="9" t="s">
        <v>33</v>
      </c>
      <c r="G28" s="9"/>
      <c r="H28" s="9"/>
      <c r="I28" s="9"/>
      <c r="J28" s="9"/>
      <c r="K28" s="9"/>
      <c r="L28" s="9"/>
      <c r="M28" s="9"/>
      <c r="N28" s="24"/>
      <c r="O28" s="25"/>
      <c r="P28" s="25"/>
      <c r="Q28" s="4"/>
    </row>
    <row r="29" spans="1:17" x14ac:dyDescent="0.25">
      <c r="A29" s="9">
        <v>5</v>
      </c>
      <c r="B29" s="9" t="s">
        <v>24</v>
      </c>
      <c r="C29" s="9"/>
      <c r="D29" s="9"/>
      <c r="E29" s="9" t="s">
        <v>3</v>
      </c>
      <c r="F29" s="9" t="s">
        <v>32</v>
      </c>
      <c r="G29" s="9"/>
      <c r="H29" s="9"/>
      <c r="I29" s="9"/>
      <c r="J29" s="9"/>
      <c r="K29" s="9"/>
      <c r="L29" s="9"/>
      <c r="M29" s="9"/>
      <c r="N29" s="24"/>
      <c r="O29" s="25"/>
      <c r="P29" s="25"/>
      <c r="Q29" s="4"/>
    </row>
    <row r="30" spans="1:17" x14ac:dyDescent="0.25">
      <c r="A30" s="9"/>
      <c r="B30" s="9"/>
      <c r="C30" s="9"/>
      <c r="D30" s="9"/>
      <c r="E30" s="9"/>
      <c r="F30" s="9"/>
      <c r="G30" s="9"/>
      <c r="H30" s="9"/>
      <c r="I30" s="9"/>
      <c r="J30" s="9"/>
      <c r="K30" s="9"/>
      <c r="L30" s="9"/>
      <c r="M30" s="9"/>
      <c r="N30" s="24"/>
      <c r="O30" s="25"/>
      <c r="P30" s="25"/>
      <c r="Q30" s="4"/>
    </row>
    <row r="31" spans="1:17" x14ac:dyDescent="0.25">
      <c r="A31" s="9"/>
      <c r="B31" s="28" t="s">
        <v>25</v>
      </c>
      <c r="C31" s="28"/>
      <c r="D31" s="28"/>
      <c r="E31" s="28"/>
      <c r="F31" s="28"/>
      <c r="G31" s="9"/>
      <c r="H31" s="9"/>
      <c r="I31" s="9"/>
      <c r="J31" s="9"/>
      <c r="K31" s="9"/>
      <c r="L31" s="9"/>
      <c r="M31" s="9"/>
      <c r="N31" s="24"/>
      <c r="O31" s="25"/>
      <c r="P31" s="25"/>
      <c r="Q31" s="4"/>
    </row>
    <row r="32" spans="1:17" x14ac:dyDescent="0.25">
      <c r="A32" s="9"/>
      <c r="B32" s="29" t="s">
        <v>26</v>
      </c>
      <c r="C32" s="30"/>
      <c r="D32" s="30"/>
      <c r="E32" s="31"/>
      <c r="F32" s="32" t="s">
        <v>29</v>
      </c>
      <c r="G32" s="33"/>
      <c r="H32" s="33"/>
      <c r="I32" s="33"/>
      <c r="J32" s="33"/>
      <c r="K32" s="33"/>
      <c r="L32" s="33"/>
      <c r="M32" s="33"/>
      <c r="N32" s="34"/>
      <c r="O32" s="35"/>
      <c r="P32" s="25"/>
      <c r="Q32" s="4"/>
    </row>
    <row r="33" spans="1:17" x14ac:dyDescent="0.25">
      <c r="A33" s="9"/>
      <c r="B33" s="29" t="s">
        <v>27</v>
      </c>
      <c r="C33" s="30"/>
      <c r="D33" s="30"/>
      <c r="E33" s="31"/>
      <c r="F33" s="9" t="s">
        <v>30</v>
      </c>
      <c r="G33" s="33"/>
      <c r="H33" s="33"/>
      <c r="I33" s="33"/>
      <c r="J33" s="33"/>
      <c r="K33" s="33"/>
      <c r="L33" s="33"/>
      <c r="M33" s="33"/>
      <c r="N33" s="34"/>
      <c r="O33" s="35"/>
      <c r="P33" s="25"/>
      <c r="Q33" s="4"/>
    </row>
    <row r="34" spans="1:17" x14ac:dyDescent="0.25">
      <c r="A34" s="9"/>
      <c r="B34" s="29" t="s">
        <v>28</v>
      </c>
      <c r="C34" s="30"/>
      <c r="D34" s="30"/>
      <c r="E34" s="31"/>
      <c r="F34" s="32" t="s">
        <v>31</v>
      </c>
      <c r="G34" s="33"/>
      <c r="H34" s="33"/>
      <c r="I34" s="33"/>
      <c r="J34" s="33"/>
      <c r="K34" s="33"/>
      <c r="L34" s="33"/>
      <c r="M34" s="33"/>
      <c r="N34" s="34"/>
      <c r="O34" s="35"/>
      <c r="P34" s="25"/>
      <c r="Q34" s="4"/>
    </row>
    <row r="35" spans="1:17" x14ac:dyDescent="0.25">
      <c r="A35" s="9"/>
      <c r="B35" s="9"/>
      <c r="C35" s="9"/>
      <c r="D35" s="9"/>
      <c r="E35" s="9"/>
      <c r="F35" s="9"/>
      <c r="G35" s="9"/>
      <c r="H35" s="9"/>
      <c r="I35" s="9"/>
      <c r="J35" s="9"/>
      <c r="K35" s="9"/>
      <c r="L35" s="9"/>
      <c r="M35" s="9"/>
      <c r="N35" s="24"/>
      <c r="O35" s="25"/>
      <c r="P35" s="25"/>
      <c r="Q35" s="4"/>
    </row>
    <row r="36" spans="1:17" ht="15" customHeight="1" x14ac:dyDescent="0.25">
      <c r="A36" s="49" t="s">
        <v>36</v>
      </c>
      <c r="B36" s="49"/>
      <c r="C36" s="49"/>
      <c r="D36" s="49"/>
      <c r="E36" s="49"/>
      <c r="F36" s="49"/>
      <c r="G36" s="49"/>
      <c r="H36" s="49"/>
      <c r="I36" s="49"/>
      <c r="J36" s="49"/>
      <c r="K36" s="49"/>
      <c r="L36" s="49"/>
      <c r="M36" s="49"/>
      <c r="N36" s="49"/>
      <c r="O36" s="49"/>
      <c r="P36" s="49"/>
      <c r="Q36" s="4"/>
    </row>
    <row r="37" spans="1:17" x14ac:dyDescent="0.25">
      <c r="A37" s="49"/>
      <c r="B37" s="49"/>
      <c r="C37" s="49"/>
      <c r="D37" s="49"/>
      <c r="E37" s="49"/>
      <c r="F37" s="49"/>
      <c r="G37" s="49"/>
      <c r="H37" s="49"/>
      <c r="I37" s="49"/>
      <c r="J37" s="49"/>
      <c r="K37" s="49"/>
      <c r="L37" s="49"/>
      <c r="M37" s="49"/>
      <c r="N37" s="49"/>
      <c r="O37" s="49"/>
      <c r="P37" s="49"/>
      <c r="Q37" s="4"/>
    </row>
    <row r="38" spans="1:17" x14ac:dyDescent="0.25">
      <c r="A38" s="49"/>
      <c r="B38" s="49"/>
      <c r="C38" s="49"/>
      <c r="D38" s="49"/>
      <c r="E38" s="49"/>
      <c r="F38" s="49"/>
      <c r="G38" s="49"/>
      <c r="H38" s="49"/>
      <c r="I38" s="49"/>
      <c r="J38" s="49"/>
      <c r="K38" s="49"/>
      <c r="L38" s="49"/>
      <c r="M38" s="49"/>
      <c r="N38" s="49"/>
      <c r="O38" s="49"/>
      <c r="P38" s="49"/>
      <c r="Q38" s="4"/>
    </row>
    <row r="39" spans="1:17" x14ac:dyDescent="0.25">
      <c r="A39" s="9"/>
      <c r="B39" s="9"/>
      <c r="C39" s="9"/>
      <c r="D39" s="9"/>
      <c r="E39" s="9"/>
      <c r="F39" s="9"/>
      <c r="G39" s="9"/>
      <c r="H39" s="9"/>
      <c r="I39" s="9"/>
      <c r="J39" s="9"/>
      <c r="K39" s="9"/>
      <c r="L39" s="9"/>
      <c r="M39" s="9"/>
      <c r="N39" s="24"/>
      <c r="O39" s="25"/>
      <c r="P39" s="25"/>
      <c r="Q39" s="4"/>
    </row>
    <row r="40" spans="1:17" x14ac:dyDescent="0.25">
      <c r="A40" s="9"/>
      <c r="B40" s="9" t="s">
        <v>37</v>
      </c>
      <c r="C40" s="9"/>
      <c r="D40" s="9"/>
      <c r="E40" s="9"/>
      <c r="F40" s="9"/>
      <c r="G40" s="9"/>
      <c r="H40" s="9"/>
      <c r="I40" s="9"/>
      <c r="J40" s="9"/>
      <c r="K40" s="9"/>
      <c r="L40" s="9"/>
      <c r="M40" s="9"/>
      <c r="N40" s="24"/>
      <c r="O40" s="25"/>
      <c r="P40" s="25"/>
      <c r="Q40" s="4"/>
    </row>
    <row r="41" spans="1:17" x14ac:dyDescent="0.25">
      <c r="A41" s="9"/>
      <c r="B41" s="9"/>
      <c r="C41" s="9"/>
      <c r="D41" s="9"/>
      <c r="E41" s="9"/>
      <c r="F41" s="9"/>
      <c r="G41" s="9"/>
      <c r="H41" s="9"/>
      <c r="I41" s="9"/>
      <c r="J41" s="9"/>
      <c r="K41" s="9"/>
      <c r="L41" s="9"/>
      <c r="M41" s="9"/>
      <c r="N41" s="24"/>
      <c r="O41" s="25"/>
      <c r="P41" s="25"/>
      <c r="Q41" s="4"/>
    </row>
    <row r="42" spans="1:17" x14ac:dyDescent="0.25">
      <c r="A42" s="9"/>
      <c r="B42" s="9"/>
      <c r="C42" s="9"/>
      <c r="D42" s="9"/>
      <c r="E42" s="9"/>
      <c r="F42" s="9"/>
      <c r="G42" s="9"/>
      <c r="H42" s="9"/>
      <c r="I42" s="9"/>
      <c r="J42" s="9"/>
      <c r="K42" s="9"/>
      <c r="L42" s="9"/>
      <c r="M42" s="9"/>
      <c r="N42" s="24"/>
      <c r="O42" s="25"/>
      <c r="P42" s="25"/>
      <c r="Q42" s="4"/>
    </row>
    <row r="43" spans="1:17" x14ac:dyDescent="0.25">
      <c r="A43" s="5"/>
      <c r="B43" s="5"/>
      <c r="C43" s="5"/>
      <c r="D43" s="5"/>
      <c r="E43" s="5"/>
      <c r="F43" s="5"/>
      <c r="G43" s="5"/>
      <c r="H43" s="5"/>
      <c r="I43" s="5"/>
      <c r="J43" s="5"/>
      <c r="K43" s="5"/>
      <c r="L43" s="5"/>
      <c r="M43" s="5"/>
      <c r="N43" s="7"/>
      <c r="O43" s="8"/>
      <c r="P43" s="8"/>
    </row>
    <row r="44" spans="1:17" x14ac:dyDescent="0.25">
      <c r="A44" s="5"/>
      <c r="B44" s="36" t="s">
        <v>38</v>
      </c>
      <c r="C44" s="5"/>
      <c r="D44" s="5"/>
      <c r="E44" s="5"/>
      <c r="F44" s="5"/>
      <c r="G44" s="5"/>
      <c r="H44" s="5"/>
      <c r="I44" s="5"/>
      <c r="J44" s="5"/>
      <c r="K44" s="5"/>
      <c r="L44" s="5"/>
      <c r="M44" s="5"/>
      <c r="N44" s="7"/>
      <c r="O44" s="8"/>
      <c r="P44" s="8"/>
    </row>
    <row r="45" spans="1:17" x14ac:dyDescent="0.25">
      <c r="A45" s="5"/>
      <c r="B45" s="36" t="s">
        <v>39</v>
      </c>
      <c r="C45" s="5"/>
      <c r="D45" s="5"/>
      <c r="E45" s="5"/>
      <c r="F45" s="5"/>
      <c r="G45" s="5"/>
      <c r="H45" s="5"/>
      <c r="I45" s="5"/>
      <c r="J45" s="5"/>
      <c r="K45" s="5"/>
      <c r="L45" s="5"/>
      <c r="M45" s="5"/>
      <c r="N45" s="7"/>
      <c r="O45" s="8"/>
      <c r="P45" s="8"/>
    </row>
    <row r="46" spans="1:17" x14ac:dyDescent="0.25">
      <c r="A46" s="5"/>
      <c r="B46" s="5"/>
      <c r="C46" s="5"/>
      <c r="D46" s="5"/>
      <c r="E46" s="5"/>
      <c r="F46" s="5"/>
      <c r="G46" s="5"/>
      <c r="H46" s="5"/>
      <c r="I46" s="5"/>
      <c r="J46" s="5"/>
      <c r="K46" s="5"/>
      <c r="L46" s="5"/>
      <c r="M46" s="5"/>
      <c r="N46" s="7"/>
      <c r="O46" s="8"/>
      <c r="P46" s="8"/>
    </row>
  </sheetData>
  <mergeCells count="15">
    <mergeCell ref="A36:P38"/>
    <mergeCell ref="N16:O16"/>
    <mergeCell ref="N17:O17"/>
    <mergeCell ref="N18:O18"/>
    <mergeCell ref="B12:E12"/>
    <mergeCell ref="F12:K12"/>
    <mergeCell ref="N12:O12"/>
    <mergeCell ref="N13:O13"/>
    <mergeCell ref="N14:O14"/>
    <mergeCell ref="N15:O15"/>
    <mergeCell ref="B3:H3"/>
    <mergeCell ref="D22:P22"/>
    <mergeCell ref="A19:O19"/>
    <mergeCell ref="A20:N20"/>
    <mergeCell ref="A21:O21"/>
  </mergeCells>
  <pageMargins left="0.23622047244094491" right="0.19685039370078741" top="0.74803149606299213" bottom="0.35433070866141736" header="0.31496062992125984"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EAFCE-F20B-4B46-BA4F-FE6BEFA91A0C}">
  <dimension ref="A3:Q46"/>
  <sheetViews>
    <sheetView zoomScale="85" zoomScaleNormal="85" zoomScaleSheetLayoutView="85" workbookViewId="0">
      <selection activeCell="N15" sqref="N15:O15"/>
    </sheetView>
  </sheetViews>
  <sheetFormatPr defaultRowHeight="15" x14ac:dyDescent="0.25"/>
  <cols>
    <col min="1" max="1" width="3.5703125" bestFit="1" customWidth="1"/>
    <col min="2" max="2" width="14.7109375" customWidth="1"/>
    <col min="3" max="4" width="1.85546875" customWidth="1"/>
    <col min="5" max="5" width="1.7109375" bestFit="1" customWidth="1"/>
    <col min="6" max="6" width="6.7109375" customWidth="1"/>
    <col min="7" max="7" width="1.7109375" bestFit="1" customWidth="1"/>
    <col min="8" max="9" width="3.7109375" customWidth="1"/>
    <col min="10" max="10" width="1.7109375" customWidth="1"/>
    <col min="11" max="11" width="14.85546875" customWidth="1"/>
    <col min="12" max="12" width="4.140625" bestFit="1" customWidth="1"/>
    <col min="13" max="13" width="4.7109375" bestFit="1" customWidth="1"/>
    <col min="14" max="14" width="10.42578125" style="2" customWidth="1"/>
    <col min="15" max="15" width="4.5703125" style="1" bestFit="1" customWidth="1"/>
    <col min="16" max="16" width="17.7109375" style="1" customWidth="1"/>
  </cols>
  <sheetData>
    <row r="3" spans="1:16" ht="22.5" x14ac:dyDescent="0.25">
      <c r="B3" s="43" t="s">
        <v>0</v>
      </c>
      <c r="C3" s="43"/>
      <c r="D3" s="43"/>
      <c r="E3" s="43"/>
      <c r="F3" s="43"/>
      <c r="G3" s="43"/>
      <c r="H3" s="43"/>
    </row>
    <row r="5" spans="1:16" x14ac:dyDescent="0.25">
      <c r="A5" s="5"/>
      <c r="B5" s="6" t="s">
        <v>1</v>
      </c>
      <c r="C5" s="5" t="s">
        <v>3</v>
      </c>
      <c r="D5" s="5" t="s">
        <v>53</v>
      </c>
      <c r="E5" s="5"/>
      <c r="F5" s="5"/>
      <c r="G5" s="5"/>
      <c r="H5" s="5"/>
      <c r="I5" s="5"/>
      <c r="J5" s="5"/>
      <c r="K5" s="5"/>
      <c r="L5" s="5"/>
      <c r="M5" s="5"/>
      <c r="N5" s="7"/>
      <c r="O5" s="8"/>
      <c r="P5" s="8"/>
    </row>
    <row r="6" spans="1:16" x14ac:dyDescent="0.25">
      <c r="A6" s="5"/>
      <c r="B6" s="6" t="s">
        <v>2</v>
      </c>
      <c r="C6" s="5" t="s">
        <v>3</v>
      </c>
      <c r="D6" s="5" t="s">
        <v>54</v>
      </c>
      <c r="E6" s="5"/>
      <c r="F6" s="5"/>
      <c r="G6" s="5"/>
      <c r="H6" s="5"/>
      <c r="I6" s="5"/>
      <c r="J6" s="5"/>
      <c r="K6" s="5"/>
      <c r="L6" s="5"/>
      <c r="M6" s="5"/>
      <c r="N6" s="7"/>
      <c r="O6" s="8"/>
      <c r="P6" s="8"/>
    </row>
    <row r="7" spans="1:16" x14ac:dyDescent="0.25">
      <c r="A7" s="5"/>
      <c r="B7" s="5"/>
      <c r="C7" s="5"/>
      <c r="D7" s="5"/>
      <c r="E7" s="5"/>
      <c r="F7" s="5"/>
      <c r="G7" s="5"/>
      <c r="H7" s="5"/>
      <c r="I7" s="5"/>
      <c r="J7" s="5"/>
      <c r="K7" s="5"/>
      <c r="L7" s="5"/>
      <c r="M7" s="5"/>
      <c r="N7" s="7"/>
      <c r="O7" s="8"/>
      <c r="P7" s="8"/>
    </row>
    <row r="8" spans="1:16" x14ac:dyDescent="0.25">
      <c r="A8" s="5"/>
      <c r="B8" s="9" t="s">
        <v>4</v>
      </c>
      <c r="C8" s="9" t="s">
        <v>3</v>
      </c>
      <c r="D8" s="9" t="s">
        <v>5</v>
      </c>
      <c r="E8" s="9"/>
      <c r="F8" s="9"/>
      <c r="G8" s="9"/>
      <c r="H8" s="9"/>
      <c r="I8" s="9"/>
      <c r="J8" s="9"/>
      <c r="K8" s="5"/>
      <c r="L8" s="5"/>
      <c r="M8" s="5"/>
      <c r="N8" s="7"/>
      <c r="O8" s="8"/>
      <c r="P8" s="8"/>
    </row>
    <row r="9" spans="1:16" x14ac:dyDescent="0.25">
      <c r="A9" s="5"/>
      <c r="B9" s="9" t="s">
        <v>6</v>
      </c>
      <c r="C9" s="9" t="s">
        <v>3</v>
      </c>
      <c r="D9" s="9" t="s">
        <v>8</v>
      </c>
      <c r="E9" s="9"/>
      <c r="F9" s="9"/>
      <c r="G9" s="9"/>
      <c r="H9" s="9"/>
      <c r="I9" s="9"/>
      <c r="J9" s="9"/>
      <c r="K9" s="5"/>
      <c r="L9" s="5"/>
      <c r="M9" s="5"/>
      <c r="N9" s="7"/>
      <c r="O9" s="8"/>
      <c r="P9" s="8"/>
    </row>
    <row r="10" spans="1:16" x14ac:dyDescent="0.25">
      <c r="A10" s="5"/>
      <c r="B10" s="9" t="s">
        <v>7</v>
      </c>
      <c r="C10" s="9" t="s">
        <v>3</v>
      </c>
      <c r="D10" s="9" t="s">
        <v>55</v>
      </c>
      <c r="E10" s="9"/>
      <c r="F10" s="9"/>
      <c r="G10" s="9"/>
      <c r="H10" s="9"/>
      <c r="I10" s="9"/>
      <c r="J10" s="9"/>
      <c r="K10" s="5"/>
      <c r="L10" s="5"/>
      <c r="M10" s="5"/>
      <c r="N10" s="7"/>
      <c r="O10" s="8"/>
      <c r="P10" s="8"/>
    </row>
    <row r="11" spans="1:16" x14ac:dyDescent="0.25">
      <c r="A11" s="5"/>
      <c r="B11" s="5"/>
      <c r="C11" s="5"/>
      <c r="D11" s="5"/>
      <c r="E11" s="5"/>
      <c r="F11" s="5"/>
      <c r="G11" s="5"/>
      <c r="H11" s="5"/>
      <c r="I11" s="5"/>
      <c r="J11" s="5"/>
      <c r="K11" s="5"/>
      <c r="L11" s="5"/>
      <c r="M11" s="5"/>
      <c r="N11" s="7"/>
      <c r="O11" s="8"/>
      <c r="P11" s="8"/>
    </row>
    <row r="12" spans="1:16" x14ac:dyDescent="0.25">
      <c r="A12" s="40" t="s">
        <v>15</v>
      </c>
      <c r="B12" s="54" t="s">
        <v>9</v>
      </c>
      <c r="C12" s="54"/>
      <c r="D12" s="54"/>
      <c r="E12" s="54"/>
      <c r="F12" s="54" t="s">
        <v>10</v>
      </c>
      <c r="G12" s="54"/>
      <c r="H12" s="54"/>
      <c r="I12" s="54"/>
      <c r="J12" s="54"/>
      <c r="K12" s="54"/>
      <c r="L12" s="41" t="s">
        <v>11</v>
      </c>
      <c r="M12" s="41" t="s">
        <v>12</v>
      </c>
      <c r="N12" s="55" t="s">
        <v>13</v>
      </c>
      <c r="O12" s="56"/>
      <c r="P12" s="42" t="s">
        <v>14</v>
      </c>
    </row>
    <row r="13" spans="1:16" x14ac:dyDescent="0.25">
      <c r="A13" s="10">
        <v>2</v>
      </c>
      <c r="B13" s="11" t="s">
        <v>56</v>
      </c>
      <c r="C13" s="12"/>
      <c r="D13" s="12"/>
      <c r="E13" s="13"/>
      <c r="F13" s="11" t="s">
        <v>41</v>
      </c>
      <c r="G13" s="12" t="s">
        <v>3</v>
      </c>
      <c r="H13" s="12" t="s">
        <v>58</v>
      </c>
      <c r="I13" s="12"/>
      <c r="J13" s="12"/>
      <c r="K13" s="13"/>
      <c r="L13" s="10">
        <v>4</v>
      </c>
      <c r="M13" s="10" t="s">
        <v>62</v>
      </c>
      <c r="N13" s="57">
        <v>375000</v>
      </c>
      <c r="O13" s="58"/>
      <c r="P13" s="14">
        <f>L13*N13</f>
        <v>1500000</v>
      </c>
    </row>
    <row r="14" spans="1:16" x14ac:dyDescent="0.25">
      <c r="A14" s="15"/>
      <c r="B14" s="16"/>
      <c r="C14" s="5"/>
      <c r="D14" s="5"/>
      <c r="E14" s="17"/>
      <c r="F14" s="16" t="s">
        <v>42</v>
      </c>
      <c r="G14" s="5" t="s">
        <v>3</v>
      </c>
      <c r="H14" s="5" t="s">
        <v>59</v>
      </c>
      <c r="I14" s="5"/>
      <c r="J14" s="5"/>
      <c r="K14" s="17"/>
      <c r="L14" s="15"/>
      <c r="M14" s="15"/>
      <c r="N14" s="59"/>
      <c r="O14" s="60"/>
      <c r="P14" s="18"/>
    </row>
    <row r="15" spans="1:16" x14ac:dyDescent="0.25">
      <c r="A15" s="15">
        <v>2</v>
      </c>
      <c r="B15" s="16" t="s">
        <v>64</v>
      </c>
      <c r="C15" s="5"/>
      <c r="D15" s="5"/>
      <c r="E15" s="17"/>
      <c r="F15" s="16" t="s">
        <v>41</v>
      </c>
      <c r="G15" s="5" t="s">
        <v>3</v>
      </c>
      <c r="H15" s="5" t="s">
        <v>57</v>
      </c>
      <c r="I15" s="5"/>
      <c r="J15" s="5"/>
      <c r="K15" s="17"/>
      <c r="L15" s="15">
        <v>102</v>
      </c>
      <c r="M15" s="15" t="s">
        <v>62</v>
      </c>
      <c r="N15" s="50">
        <v>1560000</v>
      </c>
      <c r="O15" s="51"/>
      <c r="P15" s="18">
        <f t="shared" ref="P15:P17" si="0">L15*N15</f>
        <v>159120000</v>
      </c>
    </row>
    <row r="16" spans="1:16" x14ac:dyDescent="0.25">
      <c r="A16" s="15"/>
      <c r="B16" s="16"/>
      <c r="C16" s="5"/>
      <c r="D16" s="5"/>
      <c r="E16" s="17"/>
      <c r="F16" s="16" t="s">
        <v>42</v>
      </c>
      <c r="G16" s="5" t="s">
        <v>3</v>
      </c>
      <c r="H16" s="5" t="s">
        <v>60</v>
      </c>
      <c r="I16" s="5"/>
      <c r="J16" s="5"/>
      <c r="K16" s="17"/>
      <c r="L16" s="15"/>
      <c r="M16" s="15"/>
      <c r="N16" s="50"/>
      <c r="O16" s="51"/>
      <c r="P16" s="18"/>
    </row>
    <row r="17" spans="1:17" x14ac:dyDescent="0.25">
      <c r="A17" s="15">
        <v>3</v>
      </c>
      <c r="B17" s="16" t="s">
        <v>63</v>
      </c>
      <c r="C17" s="5"/>
      <c r="D17" s="5"/>
      <c r="E17" s="17"/>
      <c r="F17" s="16" t="s">
        <v>41</v>
      </c>
      <c r="G17" s="5" t="s">
        <v>3</v>
      </c>
      <c r="H17" s="5" t="s">
        <v>57</v>
      </c>
      <c r="I17" s="5"/>
      <c r="J17" s="5"/>
      <c r="K17" s="17"/>
      <c r="L17" s="15">
        <v>4</v>
      </c>
      <c r="M17" s="15" t="s">
        <v>62</v>
      </c>
      <c r="N17" s="50">
        <v>220000</v>
      </c>
      <c r="O17" s="51"/>
      <c r="P17" s="18">
        <f t="shared" si="0"/>
        <v>880000</v>
      </c>
    </row>
    <row r="18" spans="1:17" x14ac:dyDescent="0.25">
      <c r="A18" s="19"/>
      <c r="B18" s="20"/>
      <c r="C18" s="21"/>
      <c r="D18" s="21"/>
      <c r="E18" s="22"/>
      <c r="F18" s="16" t="s">
        <v>42</v>
      </c>
      <c r="G18" s="5" t="s">
        <v>3</v>
      </c>
      <c r="H18" s="5" t="s">
        <v>61</v>
      </c>
      <c r="I18" s="5"/>
      <c r="J18" s="21"/>
      <c r="K18" s="22"/>
      <c r="L18" s="19"/>
      <c r="M18" s="19"/>
      <c r="N18" s="52"/>
      <c r="O18" s="53"/>
      <c r="P18" s="23"/>
    </row>
    <row r="19" spans="1:17" x14ac:dyDescent="0.25">
      <c r="A19" s="45" t="s">
        <v>17</v>
      </c>
      <c r="B19" s="46"/>
      <c r="C19" s="46"/>
      <c r="D19" s="46"/>
      <c r="E19" s="46"/>
      <c r="F19" s="46"/>
      <c r="G19" s="46"/>
      <c r="H19" s="46"/>
      <c r="I19" s="46"/>
      <c r="J19" s="46"/>
      <c r="K19" s="46"/>
      <c r="L19" s="46"/>
      <c r="M19" s="46"/>
      <c r="N19" s="46"/>
      <c r="O19" s="46"/>
      <c r="P19" s="37">
        <f>SUM(P13:P17)</f>
        <v>161500000</v>
      </c>
    </row>
    <row r="20" spans="1:17" x14ac:dyDescent="0.25">
      <c r="A20" s="47" t="s">
        <v>18</v>
      </c>
      <c r="B20" s="48"/>
      <c r="C20" s="48"/>
      <c r="D20" s="48"/>
      <c r="E20" s="48"/>
      <c r="F20" s="48"/>
      <c r="G20" s="48"/>
      <c r="H20" s="48"/>
      <c r="I20" s="48"/>
      <c r="J20" s="48"/>
      <c r="K20" s="48"/>
      <c r="L20" s="48"/>
      <c r="M20" s="48"/>
      <c r="N20" s="48"/>
      <c r="O20" s="38">
        <v>0.11</v>
      </c>
      <c r="P20" s="37">
        <f>P19*O20</f>
        <v>17765000</v>
      </c>
    </row>
    <row r="21" spans="1:17" x14ac:dyDescent="0.25">
      <c r="A21" s="45" t="s">
        <v>16</v>
      </c>
      <c r="B21" s="46"/>
      <c r="C21" s="46"/>
      <c r="D21" s="46"/>
      <c r="E21" s="46"/>
      <c r="F21" s="46"/>
      <c r="G21" s="46"/>
      <c r="H21" s="46"/>
      <c r="I21" s="46"/>
      <c r="J21" s="46"/>
      <c r="K21" s="46"/>
      <c r="L21" s="46"/>
      <c r="M21" s="46"/>
      <c r="N21" s="46"/>
      <c r="O21" s="46"/>
      <c r="P21" s="37">
        <f>P19+P20</f>
        <v>179265000</v>
      </c>
    </row>
    <row r="22" spans="1:17" ht="21" customHeight="1" x14ac:dyDescent="0.25">
      <c r="A22" s="9"/>
      <c r="B22" s="39" t="s">
        <v>19</v>
      </c>
      <c r="C22" s="39" t="s">
        <v>3</v>
      </c>
      <c r="D22" s="44" t="s">
        <v>52</v>
      </c>
      <c r="E22" s="44"/>
      <c r="F22" s="44"/>
      <c r="G22" s="44"/>
      <c r="H22" s="44"/>
      <c r="I22" s="44"/>
      <c r="J22" s="44"/>
      <c r="K22" s="44"/>
      <c r="L22" s="44"/>
      <c r="M22" s="44"/>
      <c r="N22" s="44"/>
      <c r="O22" s="44"/>
      <c r="P22" s="44"/>
      <c r="Q22" s="4"/>
    </row>
    <row r="23" spans="1:17" x14ac:dyDescent="0.25">
      <c r="A23" s="9"/>
      <c r="B23" s="9"/>
      <c r="C23" s="9"/>
      <c r="D23" s="9"/>
      <c r="E23" s="9"/>
      <c r="F23" s="9"/>
      <c r="G23" s="9"/>
      <c r="H23" s="9"/>
      <c r="I23" s="9"/>
      <c r="J23" s="9"/>
      <c r="K23" s="9"/>
      <c r="L23" s="9"/>
      <c r="M23" s="9"/>
      <c r="N23" s="24"/>
      <c r="O23" s="25"/>
      <c r="P23" s="25"/>
      <c r="Q23" s="4"/>
    </row>
    <row r="24" spans="1:17" x14ac:dyDescent="0.25">
      <c r="A24" s="9"/>
      <c r="B24" s="26" t="s">
        <v>20</v>
      </c>
      <c r="C24" s="3"/>
      <c r="D24" s="3"/>
      <c r="E24" s="3"/>
      <c r="F24" s="3"/>
      <c r="G24" s="3"/>
      <c r="H24" s="3"/>
      <c r="I24" s="3"/>
      <c r="J24" s="9"/>
      <c r="K24" s="9"/>
      <c r="L24" s="9"/>
      <c r="M24" s="9"/>
      <c r="N24" s="24"/>
      <c r="O24" s="25"/>
      <c r="P24" s="25"/>
      <c r="Q24" s="4"/>
    </row>
    <row r="25" spans="1:17" x14ac:dyDescent="0.25">
      <c r="A25" s="27">
        <v>1</v>
      </c>
      <c r="B25" s="9" t="s">
        <v>34</v>
      </c>
      <c r="C25" s="9"/>
      <c r="D25" s="9"/>
      <c r="E25" s="9" t="s">
        <v>3</v>
      </c>
      <c r="F25" s="9" t="s">
        <v>35</v>
      </c>
      <c r="G25" s="9"/>
      <c r="H25" s="9"/>
      <c r="I25" s="9"/>
      <c r="J25" s="9"/>
      <c r="K25" s="9"/>
      <c r="L25" s="9"/>
      <c r="M25" s="9"/>
      <c r="N25" s="24"/>
      <c r="O25" s="25"/>
      <c r="P25" s="25"/>
      <c r="Q25" s="4"/>
    </row>
    <row r="26" spans="1:17" x14ac:dyDescent="0.25">
      <c r="A26" s="9">
        <v>2</v>
      </c>
      <c r="B26" s="9" t="s">
        <v>21</v>
      </c>
      <c r="C26" s="9"/>
      <c r="D26" s="9"/>
      <c r="E26" s="9" t="s">
        <v>3</v>
      </c>
      <c r="F26" s="9" t="s">
        <v>50</v>
      </c>
      <c r="G26" s="9"/>
      <c r="H26" s="9"/>
      <c r="I26" s="9"/>
      <c r="J26" s="9"/>
      <c r="K26" s="9"/>
      <c r="L26" s="9"/>
      <c r="M26" s="9"/>
      <c r="N26" s="24"/>
      <c r="O26" s="25"/>
      <c r="P26" s="25"/>
      <c r="Q26" s="4"/>
    </row>
    <row r="27" spans="1:17" x14ac:dyDescent="0.25">
      <c r="A27" s="9">
        <v>3</v>
      </c>
      <c r="B27" s="9" t="s">
        <v>22</v>
      </c>
      <c r="C27" s="9"/>
      <c r="D27" s="9"/>
      <c r="E27" s="9" t="s">
        <v>3</v>
      </c>
      <c r="F27" s="9" t="s">
        <v>51</v>
      </c>
      <c r="G27" s="9"/>
      <c r="H27" s="9"/>
      <c r="I27" s="9"/>
      <c r="J27" s="9"/>
      <c r="K27" s="9"/>
      <c r="L27" s="9"/>
      <c r="M27" s="9"/>
      <c r="N27" s="24"/>
      <c r="O27" s="25"/>
      <c r="P27" s="25"/>
      <c r="Q27" s="4"/>
    </row>
    <row r="28" spans="1:17" x14ac:dyDescent="0.25">
      <c r="A28" s="9">
        <v>4</v>
      </c>
      <c r="B28" s="9" t="s">
        <v>23</v>
      </c>
      <c r="C28" s="9"/>
      <c r="D28" s="9"/>
      <c r="E28" s="9" t="s">
        <v>3</v>
      </c>
      <c r="F28" s="9" t="s">
        <v>33</v>
      </c>
      <c r="G28" s="9"/>
      <c r="H28" s="9"/>
      <c r="I28" s="9"/>
      <c r="J28" s="9"/>
      <c r="K28" s="9"/>
      <c r="L28" s="9"/>
      <c r="M28" s="9"/>
      <c r="N28" s="24"/>
      <c r="O28" s="25"/>
      <c r="P28" s="25"/>
      <c r="Q28" s="4"/>
    </row>
    <row r="29" spans="1:17" x14ac:dyDescent="0.25">
      <c r="A29" s="9">
        <v>5</v>
      </c>
      <c r="B29" s="9" t="s">
        <v>24</v>
      </c>
      <c r="C29" s="9"/>
      <c r="D29" s="9"/>
      <c r="E29" s="9" t="s">
        <v>3</v>
      </c>
      <c r="F29" s="9" t="s">
        <v>32</v>
      </c>
      <c r="G29" s="9"/>
      <c r="H29" s="9"/>
      <c r="I29" s="9"/>
      <c r="J29" s="9"/>
      <c r="K29" s="9"/>
      <c r="L29" s="9"/>
      <c r="M29" s="9"/>
      <c r="N29" s="24"/>
      <c r="O29" s="25"/>
      <c r="P29" s="25"/>
      <c r="Q29" s="4"/>
    </row>
    <row r="30" spans="1:17" x14ac:dyDescent="0.25">
      <c r="A30" s="9"/>
      <c r="B30" s="9"/>
      <c r="C30" s="9"/>
      <c r="D30" s="9"/>
      <c r="E30" s="9"/>
      <c r="F30" s="9"/>
      <c r="G30" s="9"/>
      <c r="H30" s="9"/>
      <c r="I30" s="9"/>
      <c r="J30" s="9"/>
      <c r="K30" s="9"/>
      <c r="L30" s="9"/>
      <c r="M30" s="9"/>
      <c r="N30" s="24"/>
      <c r="O30" s="25"/>
      <c r="P30" s="25"/>
      <c r="Q30" s="4"/>
    </row>
    <row r="31" spans="1:17" x14ac:dyDescent="0.25">
      <c r="A31" s="9"/>
      <c r="B31" s="28" t="s">
        <v>25</v>
      </c>
      <c r="C31" s="28"/>
      <c r="D31" s="28"/>
      <c r="E31" s="28"/>
      <c r="F31" s="28"/>
      <c r="G31" s="9"/>
      <c r="H31" s="9"/>
      <c r="I31" s="9"/>
      <c r="J31" s="9"/>
      <c r="K31" s="9"/>
      <c r="L31" s="9"/>
      <c r="M31" s="9"/>
      <c r="N31" s="24"/>
      <c r="O31" s="25"/>
      <c r="P31" s="25"/>
      <c r="Q31" s="4"/>
    </row>
    <row r="32" spans="1:17" x14ac:dyDescent="0.25">
      <c r="A32" s="9"/>
      <c r="B32" s="29" t="s">
        <v>26</v>
      </c>
      <c r="C32" s="30"/>
      <c r="D32" s="30"/>
      <c r="E32" s="31"/>
      <c r="F32" s="32" t="s">
        <v>29</v>
      </c>
      <c r="G32" s="33"/>
      <c r="H32" s="33"/>
      <c r="I32" s="33"/>
      <c r="J32" s="33"/>
      <c r="K32" s="33"/>
      <c r="L32" s="33"/>
      <c r="M32" s="33"/>
      <c r="N32" s="34"/>
      <c r="O32" s="35"/>
      <c r="P32" s="25"/>
      <c r="Q32" s="4"/>
    </row>
    <row r="33" spans="1:17" x14ac:dyDescent="0.25">
      <c r="A33" s="9"/>
      <c r="B33" s="29" t="s">
        <v>27</v>
      </c>
      <c r="C33" s="30"/>
      <c r="D33" s="30"/>
      <c r="E33" s="31"/>
      <c r="F33" s="9" t="s">
        <v>30</v>
      </c>
      <c r="G33" s="33"/>
      <c r="H33" s="33"/>
      <c r="I33" s="33"/>
      <c r="J33" s="33"/>
      <c r="K33" s="33"/>
      <c r="L33" s="33"/>
      <c r="M33" s="33"/>
      <c r="N33" s="34"/>
      <c r="O33" s="35"/>
      <c r="P33" s="25"/>
      <c r="Q33" s="4"/>
    </row>
    <row r="34" spans="1:17" x14ac:dyDescent="0.25">
      <c r="A34" s="9"/>
      <c r="B34" s="29" t="s">
        <v>28</v>
      </c>
      <c r="C34" s="30"/>
      <c r="D34" s="30"/>
      <c r="E34" s="31"/>
      <c r="F34" s="32" t="s">
        <v>31</v>
      </c>
      <c r="G34" s="33"/>
      <c r="H34" s="33"/>
      <c r="I34" s="33"/>
      <c r="J34" s="33"/>
      <c r="K34" s="33"/>
      <c r="L34" s="33"/>
      <c r="M34" s="33"/>
      <c r="N34" s="34"/>
      <c r="O34" s="35"/>
      <c r="P34" s="25"/>
      <c r="Q34" s="4"/>
    </row>
    <row r="35" spans="1:17" x14ac:dyDescent="0.25">
      <c r="A35" s="9"/>
      <c r="B35" s="9"/>
      <c r="C35" s="9"/>
      <c r="D35" s="9"/>
      <c r="E35" s="9"/>
      <c r="F35" s="9"/>
      <c r="G35" s="9"/>
      <c r="H35" s="9"/>
      <c r="I35" s="9"/>
      <c r="J35" s="9"/>
      <c r="K35" s="9"/>
      <c r="L35" s="9"/>
      <c r="M35" s="9"/>
      <c r="N35" s="24"/>
      <c r="O35" s="25"/>
      <c r="P35" s="25"/>
      <c r="Q35" s="4"/>
    </row>
    <row r="36" spans="1:17" ht="15" customHeight="1" x14ac:dyDescent="0.25">
      <c r="A36" s="49" t="s">
        <v>36</v>
      </c>
      <c r="B36" s="49"/>
      <c r="C36" s="49"/>
      <c r="D36" s="49"/>
      <c r="E36" s="49"/>
      <c r="F36" s="49"/>
      <c r="G36" s="49"/>
      <c r="H36" s="49"/>
      <c r="I36" s="49"/>
      <c r="J36" s="49"/>
      <c r="K36" s="49"/>
      <c r="L36" s="49"/>
      <c r="M36" s="49"/>
      <c r="N36" s="49"/>
      <c r="O36" s="49"/>
      <c r="P36" s="49"/>
      <c r="Q36" s="4"/>
    </row>
    <row r="37" spans="1:17" x14ac:dyDescent="0.25">
      <c r="A37" s="49"/>
      <c r="B37" s="49"/>
      <c r="C37" s="49"/>
      <c r="D37" s="49"/>
      <c r="E37" s="49"/>
      <c r="F37" s="49"/>
      <c r="G37" s="49"/>
      <c r="H37" s="49"/>
      <c r="I37" s="49"/>
      <c r="J37" s="49"/>
      <c r="K37" s="49"/>
      <c r="L37" s="49"/>
      <c r="M37" s="49"/>
      <c r="N37" s="49"/>
      <c r="O37" s="49"/>
      <c r="P37" s="49"/>
      <c r="Q37" s="4"/>
    </row>
    <row r="38" spans="1:17" x14ac:dyDescent="0.25">
      <c r="A38" s="49"/>
      <c r="B38" s="49"/>
      <c r="C38" s="49"/>
      <c r="D38" s="49"/>
      <c r="E38" s="49"/>
      <c r="F38" s="49"/>
      <c r="G38" s="49"/>
      <c r="H38" s="49"/>
      <c r="I38" s="49"/>
      <c r="J38" s="49"/>
      <c r="K38" s="49"/>
      <c r="L38" s="49"/>
      <c r="M38" s="49"/>
      <c r="N38" s="49"/>
      <c r="O38" s="49"/>
      <c r="P38" s="49"/>
      <c r="Q38" s="4"/>
    </row>
    <row r="39" spans="1:17" x14ac:dyDescent="0.25">
      <c r="A39" s="9"/>
      <c r="B39" s="9"/>
      <c r="C39" s="9"/>
      <c r="D39" s="9"/>
      <c r="E39" s="9"/>
      <c r="F39" s="9"/>
      <c r="G39" s="9"/>
      <c r="H39" s="9"/>
      <c r="I39" s="9"/>
      <c r="J39" s="9"/>
      <c r="K39" s="9"/>
      <c r="L39" s="9"/>
      <c r="M39" s="9"/>
      <c r="N39" s="24"/>
      <c r="O39" s="25"/>
      <c r="P39" s="25"/>
      <c r="Q39" s="4"/>
    </row>
    <row r="40" spans="1:17" x14ac:dyDescent="0.25">
      <c r="A40" s="9"/>
      <c r="B40" s="9" t="s">
        <v>37</v>
      </c>
      <c r="C40" s="9"/>
      <c r="D40" s="9"/>
      <c r="E40" s="9"/>
      <c r="F40" s="9"/>
      <c r="G40" s="9"/>
      <c r="H40" s="9"/>
      <c r="I40" s="9"/>
      <c r="J40" s="9"/>
      <c r="K40" s="9"/>
      <c r="L40" s="9"/>
      <c r="M40" s="9"/>
      <c r="N40" s="24"/>
      <c r="O40" s="25"/>
      <c r="P40" s="25"/>
      <c r="Q40" s="4"/>
    </row>
    <row r="41" spans="1:17" x14ac:dyDescent="0.25">
      <c r="A41" s="9"/>
      <c r="B41" s="9"/>
      <c r="C41" s="9"/>
      <c r="D41" s="9"/>
      <c r="E41" s="9"/>
      <c r="F41" s="9"/>
      <c r="G41" s="9"/>
      <c r="H41" s="9"/>
      <c r="I41" s="9"/>
      <c r="J41" s="9"/>
      <c r="K41" s="9"/>
      <c r="L41" s="9"/>
      <c r="M41" s="9"/>
      <c r="N41" s="24"/>
      <c r="O41" s="25"/>
      <c r="P41" s="25"/>
      <c r="Q41" s="4"/>
    </row>
    <row r="42" spans="1:17" x14ac:dyDescent="0.25">
      <c r="A42" s="9"/>
      <c r="B42" s="9"/>
      <c r="C42" s="9"/>
      <c r="D42" s="9"/>
      <c r="E42" s="9"/>
      <c r="F42" s="9"/>
      <c r="G42" s="9"/>
      <c r="H42" s="9"/>
      <c r="I42" s="9"/>
      <c r="J42" s="9"/>
      <c r="K42" s="9"/>
      <c r="L42" s="9"/>
      <c r="M42" s="9"/>
      <c r="N42" s="24"/>
      <c r="O42" s="25"/>
      <c r="P42" s="25"/>
      <c r="Q42" s="4"/>
    </row>
    <row r="43" spans="1:17" x14ac:dyDescent="0.25">
      <c r="A43" s="5"/>
      <c r="B43" s="5"/>
      <c r="C43" s="5"/>
      <c r="D43" s="5"/>
      <c r="E43" s="5"/>
      <c r="F43" s="5"/>
      <c r="G43" s="5"/>
      <c r="H43" s="5"/>
      <c r="I43" s="5"/>
      <c r="J43" s="5"/>
      <c r="K43" s="5"/>
      <c r="L43" s="5"/>
      <c r="M43" s="5"/>
      <c r="N43" s="7"/>
      <c r="O43" s="8"/>
      <c r="P43" s="8"/>
    </row>
    <row r="44" spans="1:17" x14ac:dyDescent="0.25">
      <c r="A44" s="5"/>
      <c r="B44" s="36" t="s">
        <v>38</v>
      </c>
      <c r="C44" s="5"/>
      <c r="D44" s="5"/>
      <c r="E44" s="5"/>
      <c r="F44" s="5"/>
      <c r="G44" s="5"/>
      <c r="H44" s="5"/>
      <c r="I44" s="5"/>
      <c r="J44" s="5"/>
      <c r="K44" s="5"/>
      <c r="L44" s="5"/>
      <c r="M44" s="5"/>
      <c r="N44" s="7"/>
      <c r="O44" s="8"/>
      <c r="P44" s="8"/>
    </row>
    <row r="45" spans="1:17" x14ac:dyDescent="0.25">
      <c r="A45" s="5"/>
      <c r="B45" s="36" t="s">
        <v>39</v>
      </c>
      <c r="C45" s="5"/>
      <c r="D45" s="5"/>
      <c r="E45" s="5"/>
      <c r="F45" s="5"/>
      <c r="G45" s="5"/>
      <c r="H45" s="5"/>
      <c r="I45" s="5"/>
      <c r="J45" s="5"/>
      <c r="K45" s="5"/>
      <c r="L45" s="5"/>
      <c r="M45" s="5"/>
      <c r="N45" s="7"/>
      <c r="O45" s="8"/>
      <c r="P45" s="8"/>
    </row>
    <row r="46" spans="1:17" x14ac:dyDescent="0.25">
      <c r="A46" s="5"/>
      <c r="B46" s="5"/>
      <c r="C46" s="5"/>
      <c r="D46" s="5"/>
      <c r="E46" s="5"/>
      <c r="F46" s="5"/>
      <c r="G46" s="5"/>
      <c r="H46" s="5"/>
      <c r="I46" s="5"/>
      <c r="J46" s="5"/>
      <c r="K46" s="5"/>
      <c r="L46" s="5"/>
      <c r="M46" s="5"/>
      <c r="N46" s="7"/>
      <c r="O46" s="8"/>
      <c r="P46" s="8"/>
    </row>
  </sheetData>
  <mergeCells count="15">
    <mergeCell ref="N14:O14"/>
    <mergeCell ref="B3:H3"/>
    <mergeCell ref="B12:E12"/>
    <mergeCell ref="F12:K12"/>
    <mergeCell ref="N12:O12"/>
    <mergeCell ref="N13:O13"/>
    <mergeCell ref="A21:O21"/>
    <mergeCell ref="D22:P22"/>
    <mergeCell ref="A36:P38"/>
    <mergeCell ref="N15:O15"/>
    <mergeCell ref="N16:O16"/>
    <mergeCell ref="N17:O17"/>
    <mergeCell ref="N18:O18"/>
    <mergeCell ref="A19:O19"/>
    <mergeCell ref="A20:N20"/>
  </mergeCells>
  <pageMargins left="0.23622047244094491" right="0.19685039370078741" top="0.74803149606299213" bottom="0.35433070866141736" header="0.31496062992125984" footer="0.31496062992125984"/>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BA181-3E37-461E-8070-1576C4E3784D}">
  <dimension ref="A3:Q46"/>
  <sheetViews>
    <sheetView tabSelected="1" zoomScale="85" zoomScaleNormal="85" zoomScaleSheetLayoutView="85" workbookViewId="0">
      <selection activeCell="F11" sqref="F11"/>
    </sheetView>
  </sheetViews>
  <sheetFormatPr defaultRowHeight="15" x14ac:dyDescent="0.25"/>
  <cols>
    <col min="1" max="1" width="3.5703125" bestFit="1" customWidth="1"/>
    <col min="2" max="2" width="14.7109375" customWidth="1"/>
    <col min="3" max="4" width="1.85546875" customWidth="1"/>
    <col min="5" max="5" width="1.7109375" bestFit="1" customWidth="1"/>
    <col min="6" max="6" width="6.7109375" customWidth="1"/>
    <col min="7" max="7" width="1.7109375" bestFit="1" customWidth="1"/>
    <col min="8" max="9" width="3.7109375" customWidth="1"/>
    <col min="10" max="10" width="1.7109375" customWidth="1"/>
    <col min="11" max="11" width="14.85546875" customWidth="1"/>
    <col min="12" max="12" width="4.140625" bestFit="1" customWidth="1"/>
    <col min="13" max="13" width="4.7109375" bestFit="1" customWidth="1"/>
    <col min="14" max="14" width="10.42578125" style="2" customWidth="1"/>
    <col min="15" max="15" width="4.5703125" style="1" bestFit="1" customWidth="1"/>
    <col min="16" max="16" width="17.7109375" style="1" customWidth="1"/>
  </cols>
  <sheetData>
    <row r="3" spans="1:16" ht="22.5" x14ac:dyDescent="0.25">
      <c r="B3" s="43" t="s">
        <v>0</v>
      </c>
      <c r="C3" s="43"/>
      <c r="D3" s="43"/>
      <c r="E3" s="43"/>
      <c r="F3" s="43"/>
      <c r="G3" s="43"/>
      <c r="H3" s="43"/>
    </row>
    <row r="5" spans="1:16" x14ac:dyDescent="0.25">
      <c r="A5" s="5"/>
      <c r="B5" s="6" t="s">
        <v>1</v>
      </c>
      <c r="C5" s="5" t="s">
        <v>3</v>
      </c>
      <c r="D5" s="5" t="s">
        <v>69</v>
      </c>
      <c r="E5" s="5"/>
      <c r="F5" s="5"/>
      <c r="G5" s="5"/>
      <c r="H5" s="5"/>
      <c r="I5" s="5"/>
      <c r="J5" s="5"/>
      <c r="K5" s="5"/>
      <c r="L5" s="5"/>
      <c r="M5" s="5"/>
      <c r="N5" s="7"/>
      <c r="O5" s="8"/>
      <c r="P5" s="8"/>
    </row>
    <row r="6" spans="1:16" x14ac:dyDescent="0.25">
      <c r="A6" s="5"/>
      <c r="B6" s="6" t="s">
        <v>2</v>
      </c>
      <c r="C6" s="5" t="s">
        <v>3</v>
      </c>
      <c r="D6" s="5" t="s">
        <v>73</v>
      </c>
      <c r="E6" s="5"/>
      <c r="F6" s="5"/>
      <c r="G6" s="5"/>
      <c r="H6" s="5"/>
      <c r="I6" s="5"/>
      <c r="J6" s="5"/>
      <c r="K6" s="5"/>
      <c r="L6" s="5"/>
      <c r="M6" s="5"/>
      <c r="N6" s="7"/>
      <c r="O6" s="8"/>
      <c r="P6" s="8"/>
    </row>
    <row r="7" spans="1:16" x14ac:dyDescent="0.25">
      <c r="A7" s="5"/>
      <c r="B7" s="5"/>
      <c r="C7" s="5"/>
      <c r="D7" s="5"/>
      <c r="E7" s="5"/>
      <c r="F7" s="5"/>
      <c r="G7" s="5"/>
      <c r="H7" s="5"/>
      <c r="I7" s="5"/>
      <c r="J7" s="5"/>
      <c r="K7" s="5"/>
      <c r="L7" s="5"/>
      <c r="M7" s="5"/>
      <c r="N7" s="7"/>
      <c r="O7" s="8"/>
      <c r="P7" s="8"/>
    </row>
    <row r="8" spans="1:16" x14ac:dyDescent="0.25">
      <c r="A8" s="5"/>
      <c r="B8" s="9" t="s">
        <v>4</v>
      </c>
      <c r="C8" s="9" t="s">
        <v>3</v>
      </c>
      <c r="D8" s="9" t="s">
        <v>5</v>
      </c>
      <c r="E8" s="9"/>
      <c r="F8" s="9"/>
      <c r="G8" s="9"/>
      <c r="H8" s="9"/>
      <c r="I8" s="9"/>
      <c r="J8" s="9"/>
      <c r="K8" s="5"/>
      <c r="L8" s="5"/>
      <c r="M8" s="5"/>
      <c r="N8" s="7"/>
      <c r="O8" s="8"/>
      <c r="P8" s="8"/>
    </row>
    <row r="9" spans="1:16" x14ac:dyDescent="0.25">
      <c r="A9" s="5"/>
      <c r="B9" s="9" t="s">
        <v>6</v>
      </c>
      <c r="C9" s="9" t="s">
        <v>3</v>
      </c>
      <c r="D9" s="9" t="s">
        <v>70</v>
      </c>
      <c r="E9" s="9"/>
      <c r="F9" s="9"/>
      <c r="G9" s="9"/>
      <c r="H9" s="9"/>
      <c r="I9" s="9"/>
      <c r="J9" s="9"/>
      <c r="K9" s="5"/>
      <c r="L9" s="5"/>
      <c r="M9" s="5"/>
      <c r="N9" s="7"/>
      <c r="O9" s="8"/>
      <c r="P9" s="8"/>
    </row>
    <row r="10" spans="1:16" x14ac:dyDescent="0.25">
      <c r="A10" s="5"/>
      <c r="B10" s="9" t="s">
        <v>7</v>
      </c>
      <c r="C10" s="9" t="s">
        <v>3</v>
      </c>
      <c r="D10" s="9" t="s">
        <v>55</v>
      </c>
      <c r="E10" s="9"/>
      <c r="F10" s="9"/>
      <c r="G10" s="9"/>
      <c r="H10" s="9"/>
      <c r="I10" s="9"/>
      <c r="J10" s="9"/>
      <c r="K10" s="5"/>
      <c r="L10" s="5"/>
      <c r="M10" s="5"/>
      <c r="N10" s="7"/>
      <c r="O10" s="8"/>
      <c r="P10" s="8"/>
    </row>
    <row r="11" spans="1:16" x14ac:dyDescent="0.25">
      <c r="A11" s="5"/>
      <c r="B11" s="5"/>
      <c r="C11" s="5"/>
      <c r="D11" s="5"/>
      <c r="E11" s="5"/>
      <c r="F11" s="5"/>
      <c r="G11" s="5"/>
      <c r="H11" s="5"/>
      <c r="I11" s="5"/>
      <c r="J11" s="5"/>
      <c r="K11" s="5"/>
      <c r="L11" s="5"/>
      <c r="M11" s="5"/>
      <c r="N11" s="7"/>
      <c r="O11" s="8"/>
      <c r="P11" s="8"/>
    </row>
    <row r="12" spans="1:16" x14ac:dyDescent="0.25">
      <c r="A12" s="40" t="s">
        <v>15</v>
      </c>
      <c r="B12" s="54" t="s">
        <v>9</v>
      </c>
      <c r="C12" s="54"/>
      <c r="D12" s="54"/>
      <c r="E12" s="54"/>
      <c r="F12" s="54" t="s">
        <v>10</v>
      </c>
      <c r="G12" s="54"/>
      <c r="H12" s="54"/>
      <c r="I12" s="54"/>
      <c r="J12" s="54"/>
      <c r="K12" s="54"/>
      <c r="L12" s="41" t="s">
        <v>11</v>
      </c>
      <c r="M12" s="41" t="s">
        <v>12</v>
      </c>
      <c r="N12" s="55" t="s">
        <v>13</v>
      </c>
      <c r="O12" s="56"/>
      <c r="P12" s="42" t="s">
        <v>14</v>
      </c>
    </row>
    <row r="13" spans="1:16" x14ac:dyDescent="0.25">
      <c r="A13" s="10">
        <v>1</v>
      </c>
      <c r="B13" s="11" t="s">
        <v>40</v>
      </c>
      <c r="C13" s="12"/>
      <c r="D13" s="12"/>
      <c r="E13" s="13"/>
      <c r="F13" s="11" t="s">
        <v>41</v>
      </c>
      <c r="G13" s="12" t="s">
        <v>3</v>
      </c>
      <c r="H13" s="12" t="s">
        <v>72</v>
      </c>
      <c r="I13" s="12"/>
      <c r="J13" s="12"/>
      <c r="K13" s="13"/>
      <c r="L13" s="10">
        <v>500</v>
      </c>
      <c r="M13" s="10" t="s">
        <v>49</v>
      </c>
      <c r="N13" s="57">
        <v>120000</v>
      </c>
      <c r="O13" s="58"/>
      <c r="P13" s="14">
        <f>L13*N13</f>
        <v>60000000</v>
      </c>
    </row>
    <row r="14" spans="1:16" x14ac:dyDescent="0.25">
      <c r="A14" s="15"/>
      <c r="B14" s="16"/>
      <c r="C14" s="5"/>
      <c r="D14" s="5"/>
      <c r="E14" s="17"/>
      <c r="F14" s="16" t="s">
        <v>42</v>
      </c>
      <c r="G14" s="5" t="s">
        <v>3</v>
      </c>
      <c r="H14" s="5" t="s">
        <v>65</v>
      </c>
      <c r="I14" s="5"/>
      <c r="J14" s="5"/>
      <c r="K14" s="17"/>
      <c r="L14" s="15"/>
      <c r="M14" s="15"/>
      <c r="N14" s="59"/>
      <c r="O14" s="60"/>
      <c r="P14" s="18"/>
    </row>
    <row r="15" spans="1:16" x14ac:dyDescent="0.25">
      <c r="A15" s="15">
        <v>2</v>
      </c>
      <c r="B15" s="16" t="s">
        <v>45</v>
      </c>
      <c r="C15" s="5"/>
      <c r="D15" s="5"/>
      <c r="E15" s="17"/>
      <c r="F15" s="16" t="s">
        <v>41</v>
      </c>
      <c r="G15" s="5" t="s">
        <v>3</v>
      </c>
      <c r="H15" s="5" t="s">
        <v>72</v>
      </c>
      <c r="I15" s="5"/>
      <c r="J15" s="5"/>
      <c r="K15" s="17"/>
      <c r="L15" s="15">
        <v>500</v>
      </c>
      <c r="M15" s="15" t="s">
        <v>49</v>
      </c>
      <c r="N15" s="50">
        <v>250000</v>
      </c>
      <c r="O15" s="51"/>
      <c r="P15" s="18">
        <f t="shared" ref="P15:P17" si="0">L15*N15</f>
        <v>125000000</v>
      </c>
    </row>
    <row r="16" spans="1:16" x14ac:dyDescent="0.25">
      <c r="A16" s="15"/>
      <c r="B16" s="16"/>
      <c r="C16" s="5"/>
      <c r="D16" s="5"/>
      <c r="E16" s="17"/>
      <c r="F16" s="16" t="s">
        <v>42</v>
      </c>
      <c r="G16" s="5" t="s">
        <v>3</v>
      </c>
      <c r="H16" s="5" t="s">
        <v>66</v>
      </c>
      <c r="I16" s="5"/>
      <c r="J16" s="5"/>
      <c r="K16" s="17"/>
      <c r="L16" s="15"/>
      <c r="M16" s="15"/>
      <c r="N16" s="50"/>
      <c r="O16" s="51"/>
      <c r="P16" s="18"/>
    </row>
    <row r="17" spans="1:17" x14ac:dyDescent="0.25">
      <c r="A17" s="15">
        <v>3</v>
      </c>
      <c r="B17" s="16" t="s">
        <v>46</v>
      </c>
      <c r="C17" s="5"/>
      <c r="D17" s="5"/>
      <c r="E17" s="17"/>
      <c r="F17" s="16" t="s">
        <v>41</v>
      </c>
      <c r="G17" s="5" t="s">
        <v>3</v>
      </c>
      <c r="H17" s="5" t="s">
        <v>72</v>
      </c>
      <c r="I17" s="5"/>
      <c r="J17" s="5"/>
      <c r="K17" s="17"/>
      <c r="L17" s="15">
        <v>500</v>
      </c>
      <c r="M17" s="15" t="s">
        <v>49</v>
      </c>
      <c r="N17" s="50">
        <v>220000</v>
      </c>
      <c r="O17" s="51"/>
      <c r="P17" s="18">
        <f t="shared" si="0"/>
        <v>110000000</v>
      </c>
    </row>
    <row r="18" spans="1:17" x14ac:dyDescent="0.25">
      <c r="A18" s="19"/>
      <c r="B18" s="20"/>
      <c r="C18" s="21"/>
      <c r="D18" s="21"/>
      <c r="E18" s="22"/>
      <c r="F18" s="16" t="s">
        <v>42</v>
      </c>
      <c r="G18" s="5" t="s">
        <v>3</v>
      </c>
      <c r="H18" s="5" t="s">
        <v>67</v>
      </c>
      <c r="I18" s="5"/>
      <c r="J18" s="21"/>
      <c r="K18" s="22"/>
      <c r="L18" s="19"/>
      <c r="M18" s="19"/>
      <c r="N18" s="52"/>
      <c r="O18" s="53"/>
      <c r="P18" s="23"/>
    </row>
    <row r="19" spans="1:17" x14ac:dyDescent="0.25">
      <c r="A19" s="45" t="s">
        <v>17</v>
      </c>
      <c r="B19" s="46"/>
      <c r="C19" s="46"/>
      <c r="D19" s="46"/>
      <c r="E19" s="46"/>
      <c r="F19" s="46"/>
      <c r="G19" s="46"/>
      <c r="H19" s="46"/>
      <c r="I19" s="46"/>
      <c r="J19" s="46"/>
      <c r="K19" s="46"/>
      <c r="L19" s="46"/>
      <c r="M19" s="46"/>
      <c r="N19" s="46"/>
      <c r="O19" s="46"/>
      <c r="P19" s="37">
        <f>SUM(P13:P17)</f>
        <v>295000000</v>
      </c>
    </row>
    <row r="20" spans="1:17" x14ac:dyDescent="0.25">
      <c r="A20" s="47" t="s">
        <v>18</v>
      </c>
      <c r="B20" s="48"/>
      <c r="C20" s="48"/>
      <c r="D20" s="48"/>
      <c r="E20" s="48"/>
      <c r="F20" s="48"/>
      <c r="G20" s="48"/>
      <c r="H20" s="48"/>
      <c r="I20" s="48"/>
      <c r="J20" s="48"/>
      <c r="K20" s="48"/>
      <c r="L20" s="48"/>
      <c r="M20" s="48"/>
      <c r="N20" s="48"/>
      <c r="O20" s="38">
        <v>0.11</v>
      </c>
      <c r="P20" s="37">
        <f>P19*O20</f>
        <v>32450000</v>
      </c>
    </row>
    <row r="21" spans="1:17" x14ac:dyDescent="0.25">
      <c r="A21" s="45" t="s">
        <v>16</v>
      </c>
      <c r="B21" s="46"/>
      <c r="C21" s="46"/>
      <c r="D21" s="46"/>
      <c r="E21" s="46"/>
      <c r="F21" s="46"/>
      <c r="G21" s="46"/>
      <c r="H21" s="46"/>
      <c r="I21" s="46"/>
      <c r="J21" s="46"/>
      <c r="K21" s="46"/>
      <c r="L21" s="46"/>
      <c r="M21" s="46"/>
      <c r="N21" s="46"/>
      <c r="O21" s="46"/>
      <c r="P21" s="37">
        <f>P19+P20</f>
        <v>327450000</v>
      </c>
    </row>
    <row r="22" spans="1:17" ht="21" customHeight="1" x14ac:dyDescent="0.25">
      <c r="A22" s="9"/>
      <c r="B22" s="39" t="s">
        <v>19</v>
      </c>
      <c r="C22" s="39" t="s">
        <v>3</v>
      </c>
      <c r="D22" s="44" t="s">
        <v>71</v>
      </c>
      <c r="E22" s="44"/>
      <c r="F22" s="44"/>
      <c r="G22" s="44"/>
      <c r="H22" s="44"/>
      <c r="I22" s="44"/>
      <c r="J22" s="44"/>
      <c r="K22" s="44"/>
      <c r="L22" s="44"/>
      <c r="M22" s="44"/>
      <c r="N22" s="44"/>
      <c r="O22" s="44"/>
      <c r="P22" s="44"/>
      <c r="Q22" s="4"/>
    </row>
    <row r="23" spans="1:17" x14ac:dyDescent="0.25">
      <c r="A23" s="9"/>
      <c r="B23" s="9"/>
      <c r="C23" s="9"/>
      <c r="D23" s="9"/>
      <c r="E23" s="9"/>
      <c r="F23" s="9"/>
      <c r="G23" s="9"/>
      <c r="H23" s="9"/>
      <c r="I23" s="9"/>
      <c r="J23" s="9"/>
      <c r="K23" s="9"/>
      <c r="L23" s="9"/>
      <c r="M23" s="9"/>
      <c r="N23" s="24"/>
      <c r="O23" s="25"/>
      <c r="P23" s="25"/>
      <c r="Q23" s="4"/>
    </row>
    <row r="24" spans="1:17" x14ac:dyDescent="0.25">
      <c r="A24" s="9"/>
      <c r="B24" s="26" t="s">
        <v>20</v>
      </c>
      <c r="C24" s="3"/>
      <c r="D24" s="3"/>
      <c r="E24" s="3"/>
      <c r="F24" s="3"/>
      <c r="G24" s="3"/>
      <c r="H24" s="3"/>
      <c r="I24" s="3"/>
      <c r="J24" s="9"/>
      <c r="K24" s="9"/>
      <c r="L24" s="9"/>
      <c r="M24" s="9"/>
      <c r="N24" s="24"/>
      <c r="O24" s="25"/>
      <c r="P24" s="25"/>
      <c r="Q24" s="4"/>
    </row>
    <row r="25" spans="1:17" x14ac:dyDescent="0.25">
      <c r="A25" s="27">
        <v>1</v>
      </c>
      <c r="B25" s="9" t="s">
        <v>34</v>
      </c>
      <c r="C25" s="9"/>
      <c r="D25" s="9"/>
      <c r="E25" s="9" t="s">
        <v>3</v>
      </c>
      <c r="F25" s="9" t="s">
        <v>35</v>
      </c>
      <c r="G25" s="9"/>
      <c r="H25" s="9"/>
      <c r="I25" s="9"/>
      <c r="J25" s="9"/>
      <c r="K25" s="9"/>
      <c r="L25" s="9"/>
      <c r="M25" s="9"/>
      <c r="N25" s="24"/>
      <c r="O25" s="25"/>
      <c r="P25" s="25"/>
      <c r="Q25" s="4"/>
    </row>
    <row r="26" spans="1:17" x14ac:dyDescent="0.25">
      <c r="A26" s="9">
        <v>2</v>
      </c>
      <c r="B26" s="9" t="s">
        <v>21</v>
      </c>
      <c r="C26" s="9"/>
      <c r="D26" s="9"/>
      <c r="E26" s="9" t="s">
        <v>3</v>
      </c>
      <c r="F26" s="9" t="s">
        <v>50</v>
      </c>
      <c r="G26" s="9"/>
      <c r="H26" s="9"/>
      <c r="I26" s="9"/>
      <c r="J26" s="9"/>
      <c r="K26" s="9"/>
      <c r="L26" s="9"/>
      <c r="M26" s="9"/>
      <c r="N26" s="24"/>
      <c r="O26" s="25"/>
      <c r="P26" s="25"/>
      <c r="Q26" s="4"/>
    </row>
    <row r="27" spans="1:17" x14ac:dyDescent="0.25">
      <c r="A27" s="9">
        <v>3</v>
      </c>
      <c r="B27" s="9" t="s">
        <v>22</v>
      </c>
      <c r="C27" s="9"/>
      <c r="D27" s="9"/>
      <c r="E27" s="9" t="s">
        <v>3</v>
      </c>
      <c r="F27" s="9" t="s">
        <v>68</v>
      </c>
      <c r="G27" s="9"/>
      <c r="H27" s="9"/>
      <c r="I27" s="9"/>
      <c r="J27" s="9"/>
      <c r="K27" s="9"/>
      <c r="L27" s="9"/>
      <c r="M27" s="9"/>
      <c r="N27" s="24"/>
      <c r="O27" s="25"/>
      <c r="P27" s="25"/>
      <c r="Q27" s="4"/>
    </row>
    <row r="28" spans="1:17" x14ac:dyDescent="0.25">
      <c r="A28" s="9">
        <v>4</v>
      </c>
      <c r="B28" s="9" t="s">
        <v>23</v>
      </c>
      <c r="C28" s="9"/>
      <c r="D28" s="9"/>
      <c r="E28" s="9" t="s">
        <v>3</v>
      </c>
      <c r="F28" s="9" t="s">
        <v>33</v>
      </c>
      <c r="G28" s="9"/>
      <c r="H28" s="9"/>
      <c r="I28" s="9"/>
      <c r="J28" s="9"/>
      <c r="K28" s="9"/>
      <c r="L28" s="9"/>
      <c r="M28" s="9"/>
      <c r="N28" s="24"/>
      <c r="O28" s="25"/>
      <c r="P28" s="25"/>
      <c r="Q28" s="4"/>
    </row>
    <row r="29" spans="1:17" x14ac:dyDescent="0.25">
      <c r="A29" s="9">
        <v>5</v>
      </c>
      <c r="B29" s="9" t="s">
        <v>24</v>
      </c>
      <c r="C29" s="9"/>
      <c r="D29" s="9"/>
      <c r="E29" s="9" t="s">
        <v>3</v>
      </c>
      <c r="F29" s="9" t="s">
        <v>32</v>
      </c>
      <c r="G29" s="9"/>
      <c r="H29" s="9"/>
      <c r="I29" s="9"/>
      <c r="J29" s="9"/>
      <c r="K29" s="9"/>
      <c r="L29" s="9"/>
      <c r="M29" s="9"/>
      <c r="N29" s="24"/>
      <c r="O29" s="25"/>
      <c r="P29" s="25"/>
      <c r="Q29" s="4"/>
    </row>
    <row r="30" spans="1:17" x14ac:dyDescent="0.25">
      <c r="A30" s="9"/>
      <c r="B30" s="9"/>
      <c r="C30" s="9"/>
      <c r="D30" s="9"/>
      <c r="E30" s="9"/>
      <c r="F30" s="9"/>
      <c r="G30" s="9"/>
      <c r="H30" s="9"/>
      <c r="I30" s="9"/>
      <c r="J30" s="9"/>
      <c r="K30" s="9"/>
      <c r="L30" s="9"/>
      <c r="M30" s="9"/>
      <c r="N30" s="24"/>
      <c r="O30" s="25"/>
      <c r="P30" s="25"/>
      <c r="Q30" s="4"/>
    </row>
    <row r="31" spans="1:17" x14ac:dyDescent="0.25">
      <c r="A31" s="9"/>
      <c r="B31" s="28" t="s">
        <v>25</v>
      </c>
      <c r="C31" s="28"/>
      <c r="D31" s="28"/>
      <c r="E31" s="28"/>
      <c r="F31" s="28"/>
      <c r="G31" s="9"/>
      <c r="H31" s="9"/>
      <c r="I31" s="9"/>
      <c r="J31" s="9"/>
      <c r="K31" s="9"/>
      <c r="L31" s="9"/>
      <c r="M31" s="9"/>
      <c r="N31" s="24"/>
      <c r="O31" s="25"/>
      <c r="P31" s="25"/>
      <c r="Q31" s="4"/>
    </row>
    <row r="32" spans="1:17" x14ac:dyDescent="0.25">
      <c r="A32" s="9"/>
      <c r="B32" s="29" t="s">
        <v>26</v>
      </c>
      <c r="C32" s="30"/>
      <c r="D32" s="30"/>
      <c r="E32" s="31"/>
      <c r="F32" s="32" t="s">
        <v>29</v>
      </c>
      <c r="G32" s="33"/>
      <c r="H32" s="33"/>
      <c r="I32" s="33"/>
      <c r="J32" s="33"/>
      <c r="K32" s="33"/>
      <c r="L32" s="33"/>
      <c r="M32" s="33"/>
      <c r="N32" s="34"/>
      <c r="O32" s="35"/>
      <c r="P32" s="25"/>
      <c r="Q32" s="4"/>
    </row>
    <row r="33" spans="1:17" x14ac:dyDescent="0.25">
      <c r="A33" s="9"/>
      <c r="B33" s="29" t="s">
        <v>27</v>
      </c>
      <c r="C33" s="30"/>
      <c r="D33" s="30"/>
      <c r="E33" s="31"/>
      <c r="F33" s="9" t="s">
        <v>30</v>
      </c>
      <c r="G33" s="33"/>
      <c r="H33" s="33"/>
      <c r="I33" s="33"/>
      <c r="J33" s="33"/>
      <c r="K33" s="33"/>
      <c r="L33" s="33"/>
      <c r="M33" s="33"/>
      <c r="N33" s="34"/>
      <c r="O33" s="35"/>
      <c r="P33" s="25"/>
      <c r="Q33" s="4"/>
    </row>
    <row r="34" spans="1:17" x14ac:dyDescent="0.25">
      <c r="A34" s="9"/>
      <c r="B34" s="29" t="s">
        <v>28</v>
      </c>
      <c r="C34" s="30"/>
      <c r="D34" s="30"/>
      <c r="E34" s="31"/>
      <c r="F34" s="32" t="s">
        <v>31</v>
      </c>
      <c r="G34" s="33"/>
      <c r="H34" s="33"/>
      <c r="I34" s="33"/>
      <c r="J34" s="33"/>
      <c r="K34" s="33"/>
      <c r="L34" s="33"/>
      <c r="M34" s="33"/>
      <c r="N34" s="34"/>
      <c r="O34" s="35"/>
      <c r="P34" s="25"/>
      <c r="Q34" s="4"/>
    </row>
    <row r="35" spans="1:17" x14ac:dyDescent="0.25">
      <c r="A35" s="9"/>
      <c r="B35" s="9"/>
      <c r="C35" s="9"/>
      <c r="D35" s="9"/>
      <c r="E35" s="9"/>
      <c r="F35" s="9"/>
      <c r="G35" s="9"/>
      <c r="H35" s="9"/>
      <c r="I35" s="9"/>
      <c r="J35" s="9"/>
      <c r="K35" s="9"/>
      <c r="L35" s="9"/>
      <c r="M35" s="9"/>
      <c r="N35" s="24"/>
      <c r="O35" s="25"/>
      <c r="P35" s="25"/>
      <c r="Q35" s="4"/>
    </row>
    <row r="36" spans="1:17" ht="15" customHeight="1" x14ac:dyDescent="0.25">
      <c r="A36" s="49" t="s">
        <v>36</v>
      </c>
      <c r="B36" s="49"/>
      <c r="C36" s="49"/>
      <c r="D36" s="49"/>
      <c r="E36" s="49"/>
      <c r="F36" s="49"/>
      <c r="G36" s="49"/>
      <c r="H36" s="49"/>
      <c r="I36" s="49"/>
      <c r="J36" s="49"/>
      <c r="K36" s="49"/>
      <c r="L36" s="49"/>
      <c r="M36" s="49"/>
      <c r="N36" s="49"/>
      <c r="O36" s="49"/>
      <c r="P36" s="49"/>
      <c r="Q36" s="4"/>
    </row>
    <row r="37" spans="1:17" x14ac:dyDescent="0.25">
      <c r="A37" s="49"/>
      <c r="B37" s="49"/>
      <c r="C37" s="49"/>
      <c r="D37" s="49"/>
      <c r="E37" s="49"/>
      <c r="F37" s="49"/>
      <c r="G37" s="49"/>
      <c r="H37" s="49"/>
      <c r="I37" s="49"/>
      <c r="J37" s="49"/>
      <c r="K37" s="49"/>
      <c r="L37" s="49"/>
      <c r="M37" s="49"/>
      <c r="N37" s="49"/>
      <c r="O37" s="49"/>
      <c r="P37" s="49"/>
      <c r="Q37" s="4"/>
    </row>
    <row r="38" spans="1:17" x14ac:dyDescent="0.25">
      <c r="A38" s="49"/>
      <c r="B38" s="49"/>
      <c r="C38" s="49"/>
      <c r="D38" s="49"/>
      <c r="E38" s="49"/>
      <c r="F38" s="49"/>
      <c r="G38" s="49"/>
      <c r="H38" s="49"/>
      <c r="I38" s="49"/>
      <c r="J38" s="49"/>
      <c r="K38" s="49"/>
      <c r="L38" s="49"/>
      <c r="M38" s="49"/>
      <c r="N38" s="49"/>
      <c r="O38" s="49"/>
      <c r="P38" s="49"/>
      <c r="Q38" s="4"/>
    </row>
    <row r="39" spans="1:17" x14ac:dyDescent="0.25">
      <c r="A39" s="9"/>
      <c r="B39" s="9"/>
      <c r="C39" s="9"/>
      <c r="D39" s="9"/>
      <c r="E39" s="9"/>
      <c r="F39" s="9"/>
      <c r="G39" s="9"/>
      <c r="H39" s="9"/>
      <c r="I39" s="9"/>
      <c r="J39" s="9"/>
      <c r="K39" s="9"/>
      <c r="L39" s="9"/>
      <c r="M39" s="9"/>
      <c r="N39" s="24"/>
      <c r="O39" s="25"/>
      <c r="P39" s="25"/>
      <c r="Q39" s="4"/>
    </row>
    <row r="40" spans="1:17" x14ac:dyDescent="0.25">
      <c r="A40" s="9"/>
      <c r="B40" s="9" t="s">
        <v>37</v>
      </c>
      <c r="C40" s="9"/>
      <c r="D40" s="9"/>
      <c r="E40" s="9"/>
      <c r="F40" s="9"/>
      <c r="G40" s="9"/>
      <c r="H40" s="9"/>
      <c r="I40" s="9"/>
      <c r="J40" s="9"/>
      <c r="K40" s="9"/>
      <c r="L40" s="9"/>
      <c r="M40" s="9"/>
      <c r="N40" s="24"/>
      <c r="O40" s="25"/>
      <c r="P40" s="25"/>
      <c r="Q40" s="4"/>
    </row>
    <row r="41" spans="1:17" x14ac:dyDescent="0.25">
      <c r="A41" s="9"/>
      <c r="B41" s="9"/>
      <c r="C41" s="9"/>
      <c r="D41" s="9"/>
      <c r="E41" s="9"/>
      <c r="F41" s="9"/>
      <c r="G41" s="9"/>
      <c r="H41" s="9"/>
      <c r="I41" s="9"/>
      <c r="J41" s="9"/>
      <c r="K41" s="9"/>
      <c r="L41" s="9"/>
      <c r="M41" s="9"/>
      <c r="N41" s="24"/>
      <c r="O41" s="25"/>
      <c r="P41" s="25"/>
      <c r="Q41" s="4"/>
    </row>
    <row r="42" spans="1:17" x14ac:dyDescent="0.25">
      <c r="A42" s="9"/>
      <c r="B42" s="9"/>
      <c r="C42" s="9"/>
      <c r="D42" s="9"/>
      <c r="E42" s="9"/>
      <c r="F42" s="9"/>
      <c r="G42" s="9"/>
      <c r="H42" s="9"/>
      <c r="I42" s="9"/>
      <c r="J42" s="9"/>
      <c r="K42" s="9"/>
      <c r="L42" s="9"/>
      <c r="M42" s="9"/>
      <c r="N42" s="24"/>
      <c r="O42" s="25"/>
      <c r="P42" s="25"/>
      <c r="Q42" s="4"/>
    </row>
    <row r="43" spans="1:17" x14ac:dyDescent="0.25">
      <c r="A43" s="5"/>
      <c r="B43" s="5"/>
      <c r="C43" s="5"/>
      <c r="D43" s="5"/>
      <c r="E43" s="5"/>
      <c r="F43" s="5"/>
      <c r="G43" s="5"/>
      <c r="H43" s="5"/>
      <c r="I43" s="5"/>
      <c r="J43" s="5"/>
      <c r="K43" s="5"/>
      <c r="L43" s="5"/>
      <c r="M43" s="5"/>
      <c r="N43" s="7"/>
      <c r="O43" s="8"/>
      <c r="P43" s="8"/>
    </row>
    <row r="44" spans="1:17" x14ac:dyDescent="0.25">
      <c r="A44" s="5"/>
      <c r="B44" s="36" t="s">
        <v>38</v>
      </c>
      <c r="C44" s="5"/>
      <c r="D44" s="5"/>
      <c r="E44" s="5"/>
      <c r="F44" s="5"/>
      <c r="G44" s="5"/>
      <c r="H44" s="5"/>
      <c r="I44" s="5"/>
      <c r="J44" s="5"/>
      <c r="K44" s="5"/>
      <c r="L44" s="5"/>
      <c r="M44" s="5"/>
      <c r="N44" s="7"/>
      <c r="O44" s="8"/>
      <c r="P44" s="8"/>
    </row>
    <row r="45" spans="1:17" x14ac:dyDescent="0.25">
      <c r="A45" s="5"/>
      <c r="B45" s="36" t="s">
        <v>39</v>
      </c>
      <c r="C45" s="5"/>
      <c r="D45" s="5"/>
      <c r="E45" s="5"/>
      <c r="F45" s="5"/>
      <c r="G45" s="5"/>
      <c r="H45" s="5"/>
      <c r="I45" s="5"/>
      <c r="J45" s="5"/>
      <c r="K45" s="5"/>
      <c r="L45" s="5"/>
      <c r="M45" s="5"/>
      <c r="N45" s="7"/>
      <c r="O45" s="8"/>
      <c r="P45" s="8"/>
    </row>
    <row r="46" spans="1:17" x14ac:dyDescent="0.25">
      <c r="A46" s="5"/>
      <c r="B46" s="5"/>
      <c r="C46" s="5"/>
      <c r="D46" s="5"/>
      <c r="E46" s="5"/>
      <c r="F46" s="5"/>
      <c r="G46" s="5"/>
      <c r="H46" s="5"/>
      <c r="I46" s="5"/>
      <c r="J46" s="5"/>
      <c r="K46" s="5"/>
      <c r="L46" s="5"/>
      <c r="M46" s="5"/>
      <c r="N46" s="7"/>
      <c r="O46" s="8"/>
      <c r="P46" s="8"/>
    </row>
  </sheetData>
  <mergeCells count="15">
    <mergeCell ref="N14:O14"/>
    <mergeCell ref="B3:H3"/>
    <mergeCell ref="B12:E12"/>
    <mergeCell ref="F12:K12"/>
    <mergeCell ref="N12:O12"/>
    <mergeCell ref="N13:O13"/>
    <mergeCell ref="A21:O21"/>
    <mergeCell ref="D22:P22"/>
    <mergeCell ref="A36:P38"/>
    <mergeCell ref="N15:O15"/>
    <mergeCell ref="N16:O16"/>
    <mergeCell ref="N17:O17"/>
    <mergeCell ref="N18:O18"/>
    <mergeCell ref="A19:O19"/>
    <mergeCell ref="A20:N20"/>
  </mergeCells>
  <pageMargins left="0.23622047244094491" right="0.19685039370078741" top="0.74803149606299213" bottom="0.35433070866141736" header="0.31496062992125984" footer="0.31496062992125984"/>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Kable In NP</vt:lpstr>
      <vt:lpstr>Chemical Safetindo</vt:lpstr>
      <vt:lpstr>Kable In NP (2)</vt:lpstr>
      <vt:lpstr>'Chemical Safetindo'!Print_Area</vt:lpstr>
      <vt:lpstr>'Kable In NP'!Print_Area</vt:lpstr>
      <vt:lpstr>'Kable In NP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cp:lastPrinted>2026-07-25T00:25:45Z</cp:lastPrinted>
  <dcterms:created xsi:type="dcterms:W3CDTF">2026-07-23T04:01:34Z</dcterms:created>
  <dcterms:modified xsi:type="dcterms:W3CDTF">2026-07-28T12:44:57Z</dcterms:modified>
</cp:coreProperties>
</file>