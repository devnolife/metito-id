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gaturan" sheetId="1" state="visible" r:id="rId3"/>
    <sheet name="Log Penomor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<sst xmlns="http://schemas.openxmlformats.org/spreadsheetml/2006/main" count="43" uniqueCount="43">
  <si>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PENGATURAN FORMAT PENOMORAN SURAT PENAWARAN</t>
  </si>
  <si>
    <t xml:space="preserve">Kode Perusahaan</t>
  </si>
  <si>
    <t xml:space="preserve">METITO</t>
  </si>
  <si>
    <t xml:space="preserve">Bulan</t>
  </si>
  <si>
    <t xml:space="preserve">Romawi</t>
  </si>
  <si>
    <t xml:space="preserve">Kode Dokumen</t>
  </si>
  <si>
    <t xml:space="preserve">SPH</t>
  </si>
  <si>
    <t xml:space="preserve">I</t>
  </si>
  <si>
    <t xml:space="preserve">Nomor Awal (No. Urut)</t>
  </si>
  <si>
    <t xml:space="preserve">II</t>
  </si>
  <si>
    <t xml:space="preserve">III</t>
  </si>
  <si>
    <t xml:space="preserve">Contoh format nomor:</t>
  </si>
  <si>
    <t xml:space="preserve">IV</t>
  </si>
  <si>
    <t xml:space="preserve">V</t>
  </si>
  <si>
    <t xml:space="preserve">Keterangan:</t>
  </si>
  <si>
    <t xml:space="preserve">VI</t>
  </si>
  <si>
    <t xml:space="preserve">- Isi sel kuning (B3, B4, B5) sesuai kebutuhan. Nomor Awal = nomor urut pertama yang dipakai di sheet Log.</t>
  </si>
  <si>
    <t xml:space="preserve">VII</t>
  </si>
  <si>
    <t xml:space="preserve">- Nomor surat pada sheet 'Log Penomoran' terbentuk otomatis: No Urut / Kode Dokumen-Kode Perusahaan / Bulan Romawi / Tahun.</t>
  </si>
  <si>
    <t xml:space="preserve">VIII</t>
  </si>
  <si>
    <t xml:space="preserve">- Bulan Romawi &amp; Tahun diambil otomatis dari kolom Tanggal pada sheet Log Penomoran.</t>
  </si>
  <si>
    <t xml:space="preserve">IX</t>
  </si>
  <si>
    <t xml:space="preserve">- Jangan menghapus tabel bantu 'Bulan Romawi' di kolom D:E, dipakai oleh rumus.</t>
  </si>
  <si>
    <t xml:space="preserve">X</t>
  </si>
  <si>
    <t xml:space="preserve">XI</t>
  </si>
  <si>
    <t xml:space="preserve">XII</t>
  </si>
  <si>
    <t xml:space="preserve">LOG PENOMORAN SURAT PENAWARAN — METITO</t>
  </si>
  <si>
    <t xml:space="preserve">No</t>
  </si>
  <si>
    <t xml:space="preserve">Tanggal</t>
  </si>
  <si>
    <t xml:space="preserve">Nomor Surat Penawaran</t>
  </si>
  <si>
    <t xml:space="preserve">Kepada / Customer</t>
  </si>
  <si>
    <t xml:space="preserve">Perihal / Judul Penawaran</t>
  </si>
  <si>
    <t xml:space="preserve">Nilai Penawaran (Rp)</t>
  </si>
  <si>
    <t xml:space="preserve">PIC</t>
  </si>
  <si>
    <t xml:space="preserve">Status</t>
  </si>
  <si>
    <t xml:space="preserve">Keterangan</t>
  </si>
  <si>
    <t xml:space="preserve">2026-01-15</t>
  </si>
  <si>
    <t xml:space="preserve">PT PLN Nusantara Power</t>
  </si>
  <si>
    <t xml:space="preserve">Penawaran Jasa Pemeliharaan Sistem RO</t>
  </si>
  <si>
    <t xml:space="preserve">Andi Zulhah</t>
  </si>
  <si>
    <t xml:space="preserve">Terkirim</t>
  </si>
  <si>
    <t xml:space="preserve">Contoh — silakan hapus/ganti</t>
  </si>
  <si>
    <t xml:space="preserve">Cara pakai: isi kolom Tanggal (B), Kepada (D), Perihal (E), Nilai (F), PIC (G), pilih Status (H). Kolom No (A) dan Nomor Surat (C) terisi otomatis.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</si>
</sst>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4"/>
    <col collapsed="false" customWidth="true" hidden="false" outlineLevel="0" max="5" min="4" style="0" width="12"/>
  </cols>
  <sheetData>
    <row r="1" customFormat="false" ht="24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  <c r="D3" s="4" t="s">
        <v>3</v>
      </c>
      <c r="E3" s="4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  <c r="D4" s="5" t="n">
        <v>1</v>
      </c>
      <c r="E4" s="5" t="s">
        <v>7</v>
      </c>
    </row>
    <row r="5" customFormat="false" ht="15" hidden="false" customHeight="false" outlineLevel="0" collapsed="false">
      <c r="A5" s="2" t="s">
        <v>8</v>
      </c>
      <c r="B5" s="3" t="n">
        <v>1</v>
      </c>
      <c r="D5" s="5" t="n">
        <v>2</v>
      </c>
      <c r="E5" s="5" t="s">
        <v>9</v>
      </c>
    </row>
    <row r="6" customFormat="false" ht="15" hidden="false" customHeight="false" outlineLevel="0" collapsed="false">
      <c r="D6" s="5" t="n">
        <v>3</v>
      </c>
      <c r="E6" s="5" t="s">
        <v>10</v>
      </c>
    </row>
    <row r="7" customFormat="false" ht="15" hidden="false" customHeight="false" outlineLevel="0" collapsed="false">
      <c r="A7" s="6" t="s">
        <v>11</v>
      </c>
      <c r="B7" s="7" t="str">
        <f aca="false">TEXT($B$5,"000")&amp;"/"&amp;$B$3&amp;"-"&amp;$B$4&amp;"/"&amp;"[Bulan Romawi]"&amp;"/"&amp;"[Tahun]"</f>
        <v>001/METITO-SPH/[Bulan Romawi]/[Tahun]</v>
      </c>
      <c r="D7" s="5" t="n">
        <v>4</v>
      </c>
      <c r="E7" s="5" t="s">
        <v>12</v>
      </c>
    </row>
    <row r="8" customFormat="false" ht="15" hidden="false" customHeight="false" outlineLevel="0" collapsed="false">
      <c r="D8" s="5" t="n">
        <v>5</v>
      </c>
      <c r="E8" s="5" t="s">
        <v>13</v>
      </c>
    </row>
    <row r="9" customFormat="false" ht="15" hidden="false" customHeight="false" outlineLevel="0" collapsed="false">
      <c r="A9" s="8" t="s">
        <v>14</v>
      </c>
      <c r="D9" s="5" t="n">
        <v>6</v>
      </c>
      <c r="E9" s="5" t="s">
        <v>15</v>
      </c>
    </row>
    <row r="10" customFormat="false" ht="15" hidden="false" customHeight="false" outlineLevel="0" collapsed="false">
      <c r="A10" s="9" t="s">
        <v>16</v>
      </c>
      <c r="B10" s="9"/>
      <c r="D10" s="5" t="n">
        <v>7</v>
      </c>
      <c r="E10" s="5" t="s">
        <v>17</v>
      </c>
    </row>
    <row r="11" customFormat="false" ht="15" hidden="false" customHeight="false" outlineLevel="0" collapsed="false">
      <c r="A11" s="9" t="s">
        <v>18</v>
      </c>
      <c r="B11" s="9"/>
      <c r="D11" s="5" t="n">
        <v>8</v>
      </c>
      <c r="E11" s="5" t="s">
        <v>19</v>
      </c>
    </row>
    <row r="12" customFormat="false" ht="15" hidden="false" customHeight="false" outlineLevel="0" collapsed="false">
      <c r="A12" s="9" t="s">
        <v>20</v>
      </c>
      <c r="B12" s="9"/>
      <c r="D12" s="5" t="n">
        <v>9</v>
      </c>
      <c r="E12" s="5" t="s">
        <v>21</v>
      </c>
    </row>
    <row r="13" customFormat="false" ht="15" hidden="false" customHeight="false" outlineLevel="0" collapsed="false">
      <c r="A13" s="9" t="s">
        <v>22</v>
      </c>
      <c r="B13" s="9"/>
      <c r="D13" s="5" t="n">
        <v>10</v>
      </c>
      <c r="E13" s="5" t="s">
        <v>23</v>
      </c>
    </row>
    <row r="14" customFormat="false" ht="15" hidden="false" customHeight="false" outlineLevel="0" collapsed="false">
      <c r="D14" s="5" t="n">
        <v>11</v>
      </c>
      <c r="E14" s="5" t="s">
        <v>24</v>
      </c>
    </row>
    <row r="15" customFormat="false" ht="15" hidden="false" customHeight="false" outlineLevel="0" collapsed="false">
      <c r="D15" s="5" t="n">
        <v>12</v>
      </c>
      <c r="E15" s="5" t="s">
        <v>25</v>
      </c>
    </row>
  </sheetData>
  <mergeCells count="5">
    <mergeCell ref="A1:B1"/>
    <mergeCell ref="A10:B10"/>
    <mergeCell ref="A11:B11"/>
    <mergeCell ref="A12:B1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4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</row>
    <row r="3" customFormat="false" ht="15" hidden="false" customHeight="false" outlineLevel="0" collapsed="false">
      <c r="A3" s="11" t="n">
        <f aca="false">IF(B3="","",Pengaturan!$B$5+ROW()-3)</f>
        <v>1</v>
      </c>
      <c r="B3" s="12" t="s">
        <v>36</v>
      </c>
      <c r="C3" s="13" t="str">
        <f aca="false">IF(B3="","",TEXT(A3,"000")&amp;"/"&amp;Pengaturan!$B$4&amp;"-"&amp;Pengaturan!$B$3&amp;"/"&amp;INDEX(Pengaturan!$E$4:$E$15,MATCH(MONTH(B3),Pengaturan!$D$4:$D$15,0))&amp;"/"&amp;TEXT(B3,"yyyy"))</f>
        <v>001/SPH-METITO/I/2026</v>
      </c>
      <c r="D3" s="14" t="s">
        <v>37</v>
      </c>
      <c r="E3" s="14" t="s">
        <v>38</v>
      </c>
      <c r="F3" s="15" t="n">
        <v>250000000</v>
      </c>
      <c r="G3" s="14" t="s">
        <v>39</v>
      </c>
      <c r="H3" s="13" t="s">
        <v>40</v>
      </c>
      <c r="I3" s="14" t="s">
        <v>41</v>
      </c>
    </row>
    <row r="4" customFormat="false" ht="15" hidden="false" customHeight="false" outlineLevel="0" collapsed="false">
      <c r="A4" s="16" t="str">
        <f aca="false">IF(B4="","",Pengaturan!$B$5+ROW()-3)</f>
        <v/>
      </c>
      <c r="B4" s="17"/>
      <c r="C4" s="18" t="str">
        <f aca="false">IF(B4="","",TEXT(A4,"000")&amp;"/"&amp;Pengaturan!$B$4&amp;"-"&amp;Pengaturan!$B$3&amp;"/"&amp;INDEX(Pengaturan!$E$4:$E$15,MATCH(MONTH(B4),Pengaturan!$D$4:$D$15,0))&amp;"/"&amp;TEXT(B4,"yyyy"))</f>
        <v/>
      </c>
      <c r="D4" s="18"/>
      <c r="E4" s="18"/>
      <c r="F4" s="19"/>
      <c r="G4" s="18"/>
      <c r="H4" s="18"/>
      <c r="I4" s="18"/>
    </row>
    <row r="5" customFormat="false" ht="15" hidden="false" customHeight="false" outlineLevel="0" collapsed="false">
      <c r="A5" s="11" t="str">
        <f aca="false">IF(B5="","",Pengaturan!$B$5+ROW()-3)</f>
        <v/>
      </c>
      <c r="B5" s="12"/>
      <c r="C5" s="13" t="str">
        <f aca="false">IF(B5="","",TEXT(A5,"000")&amp;"/"&amp;Pengaturan!$B$4&amp;"-"&amp;Pengaturan!$B$3&amp;"/"&amp;INDEX(Pengaturan!$E$4:$E$15,MATCH(MONTH(B5),Pengaturan!$D$4:$D$15,0))&amp;"/"&amp;TEXT(B5,"yyyy"))</f>
        <v/>
      </c>
      <c r="D5" s="13"/>
      <c r="E5" s="13"/>
      <c r="F5" s="15"/>
      <c r="G5" s="13"/>
      <c r="H5" s="13"/>
      <c r="I5" s="13"/>
    </row>
    <row r="6" customFormat="false" ht="15" hidden="false" customHeight="false" outlineLevel="0" collapsed="false">
      <c r="A6" s="16" t="str">
        <f aca="false">IF(B6="","",Pengaturan!$B$5+ROW()-3)</f>
        <v/>
      </c>
      <c r="B6" s="17"/>
      <c r="C6" s="18" t="str">
        <f aca="false">IF(B6="","",TEXT(A6,"000")&amp;"/"&amp;Pengaturan!$B$4&amp;"-"&amp;Pengaturan!$B$3&amp;"/"&amp;INDEX(Pengaturan!$E$4:$E$15,MATCH(MONTH(B6),Pengaturan!$D$4:$D$15,0))&amp;"/"&amp;TEXT(B6,"yyyy"))</f>
        <v/>
      </c>
      <c r="D6" s="18"/>
      <c r="E6" s="18"/>
      <c r="F6" s="19"/>
      <c r="G6" s="18"/>
      <c r="H6" s="18"/>
      <c r="I6" s="18"/>
    </row>
    <row r="7" customFormat="false" ht="15" hidden="false" customHeight="false" outlineLevel="0" collapsed="false">
      <c r="A7" s="11" t="str">
        <f aca="false">IF(B7="","",Pengaturan!$B$5+ROW()-3)</f>
        <v/>
      </c>
      <c r="B7" s="12"/>
      <c r="C7" s="13" t="str">
        <f aca="false">IF(B7="","",TEXT(A7,"000")&amp;"/"&amp;Pengaturan!$B$4&amp;"-"&amp;Pengaturan!$B$3&amp;"/"&amp;INDEX(Pengaturan!$E$4:$E$15,MATCH(MONTH(B7),Pengaturan!$D$4:$D$15,0))&amp;"/"&amp;TEXT(B7,"yyyy"))</f>
        <v/>
      </c>
      <c r="D7" s="13"/>
      <c r="E7" s="13"/>
      <c r="F7" s="15"/>
      <c r="G7" s="13"/>
      <c r="H7" s="13"/>
      <c r="I7" s="13"/>
    </row>
    <row r="8" customFormat="false" ht="15" hidden="false" customHeight="false" outlineLevel="0" collapsed="false">
      <c r="A8" s="16" t="str">
        <f aca="false">IF(B8="","",Pengaturan!$B$5+ROW()-3)</f>
        <v/>
      </c>
      <c r="B8" s="17"/>
      <c r="C8" s="18" t="str">
        <f aca="false">IF(B8="","",TEXT(A8,"000")&amp;"/"&amp;Pengaturan!$B$4&amp;"-"&amp;Pengaturan!$B$3&amp;"/"&amp;INDEX(Pengaturan!$E$4:$E$15,MATCH(MONTH(B8),Pengaturan!$D$4:$D$15,0))&amp;"/"&amp;TEXT(B8,"yyyy"))</f>
        <v/>
      </c>
      <c r="D8" s="18"/>
      <c r="E8" s="18"/>
      <c r="F8" s="19"/>
      <c r="G8" s="18"/>
      <c r="H8" s="18"/>
      <c r="I8" s="18"/>
    </row>
    <row r="9" customFormat="false" ht="15" hidden="false" customHeight="false" outlineLevel="0" collapsed="false">
      <c r="A9" s="11" t="str">
        <f aca="false">IF(B9="","",Pengaturan!$B$5+ROW()-3)</f>
        <v/>
      </c>
      <c r="B9" s="12"/>
      <c r="C9" s="13" t="str">
        <f aca="false">IF(B9="","",TEXT(A9,"000")&amp;"/"&amp;Pengaturan!$B$4&amp;"-"&amp;Pengaturan!$B$3&amp;"/"&amp;INDEX(Pengaturan!$E$4:$E$15,MATCH(MONTH(B9),Pengaturan!$D$4:$D$15,0))&amp;"/"&amp;TEXT(B9,"yyyy"))</f>
        <v/>
      </c>
      <c r="D9" s="13"/>
      <c r="E9" s="13"/>
      <c r="F9" s="15"/>
      <c r="G9" s="13"/>
      <c r="H9" s="13"/>
      <c r="I9" s="13"/>
    </row>
    <row r="10" customFormat="false" ht="15" hidden="false" customHeight="false" outlineLevel="0" collapsed="false">
      <c r="A10" s="16" t="str">
        <f aca="false">IF(B10="","",Pengaturan!$B$5+ROW()-3)</f>
        <v/>
      </c>
      <c r="B10" s="17"/>
      <c r="C10" s="18" t="str">
        <f aca="false">IF(B10="","",TEXT(A10,"000")&amp;"/"&amp;Pengaturan!$B$4&amp;"-"&amp;Pengaturan!$B$3&amp;"/"&amp;INDEX(Pengaturan!$E$4:$E$15,MATCH(MONTH(B10),Pengaturan!$D$4:$D$15,0))&amp;"/"&amp;TEXT(B10,"yyyy"))</f>
        <v/>
      </c>
      <c r="D10" s="18"/>
      <c r="E10" s="18"/>
      <c r="F10" s="19"/>
      <c r="G10" s="18"/>
      <c r="H10" s="18"/>
      <c r="I10" s="18"/>
    </row>
    <row r="11" customFormat="false" ht="15" hidden="false" customHeight="false" outlineLevel="0" collapsed="false">
      <c r="A11" s="11" t="str">
        <f aca="false">IF(B11="","",Pengaturan!$B$5+ROW()-3)</f>
        <v/>
      </c>
      <c r="B11" s="12"/>
      <c r="C11" s="13" t="str">
        <f aca="false">IF(B11="","",TEXT(A11,"000")&amp;"/"&amp;Pengaturan!$B$4&amp;"-"&amp;Pengaturan!$B$3&amp;"/"&amp;INDEX(Pengaturan!$E$4:$E$15,MATCH(MONTH(B11),Pengaturan!$D$4:$D$15,0))&amp;"/"&amp;TEXT(B11,"yyyy"))</f>
        <v/>
      </c>
      <c r="D11" s="13"/>
      <c r="E11" s="13"/>
      <c r="F11" s="15"/>
      <c r="G11" s="13"/>
      <c r="H11" s="13"/>
      <c r="I11" s="13"/>
    </row>
    <row r="12" customFormat="false" ht="15" hidden="false" customHeight="false" outlineLevel="0" collapsed="false">
      <c r="A12" s="16" t="str">
        <f aca="false">IF(B12="","",Pengaturan!$B$5+ROW()-3)</f>
        <v/>
      </c>
      <c r="B12" s="17"/>
      <c r="C12" s="18" t="str">
        <f aca="false">IF(B12="","",TEXT(A12,"000")&amp;"/"&amp;Pengaturan!$B$4&amp;"-"&amp;Pengaturan!$B$3&amp;"/"&amp;INDEX(Pengaturan!$E$4:$E$15,MATCH(MONTH(B12),Pengaturan!$D$4:$D$15,0))&amp;"/"&amp;TEXT(B12,"yyyy"))</f>
        <v/>
      </c>
      <c r="D12" s="18"/>
      <c r="E12" s="18"/>
      <c r="F12" s="19"/>
      <c r="G12" s="18"/>
      <c r="H12" s="18"/>
      <c r="I12" s="18"/>
    </row>
    <row r="13" customFormat="false" ht="15" hidden="false" customHeight="false" outlineLevel="0" collapsed="false">
      <c r="A13" s="11" t="str">
        <f aca="false">IF(B13="","",Pengaturan!$B$5+ROW()-3)</f>
        <v/>
      </c>
      <c r="B13" s="12"/>
      <c r="C13" s="13" t="str">
        <f aca="false">IF(B13="","",TEXT(A13,"000")&amp;"/"&amp;Pengaturan!$B$4&amp;"-"&amp;Pengaturan!$B$3&amp;"/"&amp;INDEX(Pengaturan!$E$4:$E$15,MATCH(MONTH(B13),Pengaturan!$D$4:$D$15,0))&amp;"/"&amp;TEXT(B13,"yyyy"))</f>
        <v/>
      </c>
      <c r="D13" s="13"/>
      <c r="E13" s="13"/>
      <c r="F13" s="15"/>
      <c r="G13" s="13"/>
      <c r="H13" s="13"/>
      <c r="I13" s="13"/>
    </row>
    <row r="14" customFormat="false" ht="15" hidden="false" customHeight="false" outlineLevel="0" collapsed="false">
      <c r="A14" s="16" t="str">
        <f aca="false">IF(B14="","",Pengaturan!$B$5+ROW()-3)</f>
        <v/>
      </c>
      <c r="B14" s="17"/>
      <c r="C14" s="18" t="str">
        <f aca="false">IF(B14="","",TEXT(A14,"000")&amp;"/"&amp;Pengaturan!$B$4&amp;"-"&amp;Pengaturan!$B$3&amp;"/"&amp;INDEX(Pengaturan!$E$4:$E$15,MATCH(MONTH(B14),Pengaturan!$D$4:$D$15,0))&amp;"/"&amp;TEXT(B14,"yyyy"))</f>
        <v/>
      </c>
      <c r="D14" s="18"/>
      <c r="E14" s="18"/>
      <c r="F14" s="19"/>
      <c r="G14" s="18"/>
      <c r="H14" s="18"/>
      <c r="I14" s="18"/>
    </row>
    <row r="15" customFormat="false" ht="15" hidden="false" customHeight="false" outlineLevel="0" collapsed="false">
      <c r="A15" s="11" t="str">
        <f aca="false">IF(B15="","",Pengaturan!$B$5+ROW()-3)</f>
        <v/>
      </c>
      <c r="B15" s="12"/>
      <c r="C15" s="13" t="str">
        <f aca="false">IF(B15="","",TEXT(A15,"000")&amp;"/"&amp;Pengaturan!$B$4&amp;"-"&amp;Pengaturan!$B$3&amp;"/"&amp;INDEX(Pengaturan!$E$4:$E$15,MATCH(MONTH(B15),Pengaturan!$D$4:$D$15,0))&amp;"/"&amp;TEXT(B15,"yyyy"))</f>
        <v/>
      </c>
      <c r="D15" s="13"/>
      <c r="E15" s="13"/>
      <c r="F15" s="15"/>
      <c r="G15" s="13"/>
      <c r="H15" s="13"/>
      <c r="I15" s="13"/>
    </row>
    <row r="16" customFormat="false" ht="15" hidden="false" customHeight="false" outlineLevel="0" collapsed="false">
      <c r="A16" s="16" t="str">
        <f aca="false">IF(B16="","",Pengaturan!$B$5+ROW()-3)</f>
        <v/>
      </c>
      <c r="B16" s="17"/>
      <c r="C16" s="18" t="str">
        <f aca="false">IF(B16="","",TEXT(A16,"000")&amp;"/"&amp;Pengaturan!$B$4&amp;"-"&amp;Pengaturan!$B$3&amp;"/"&amp;INDEX(Pengaturan!$E$4:$E$15,MATCH(MONTH(B16),Pengaturan!$D$4:$D$15,0))&amp;"/"&amp;TEXT(B16,"yyyy"))</f>
        <v/>
      </c>
      <c r="D16" s="18"/>
      <c r="E16" s="18"/>
      <c r="F16" s="19"/>
      <c r="G16" s="18"/>
      <c r="H16" s="18"/>
      <c r="I16" s="18"/>
    </row>
    <row r="17" customFormat="false" ht="15" hidden="false" customHeight="false" outlineLevel="0" collapsed="false">
      <c r="A17" s="11" t="str">
        <f aca="false">IF(B17="","",Pengaturan!$B$5+ROW()-3)</f>
        <v/>
      </c>
      <c r="B17" s="12"/>
      <c r="C17" s="13" t="str">
        <f aca="false">IF(B17="","",TEXT(A17,"000")&amp;"/"&amp;Pengaturan!$B$4&amp;"-"&amp;Pengaturan!$B$3&amp;"/"&amp;INDEX(Pengaturan!$E$4:$E$15,MATCH(MONTH(B17),Pengaturan!$D$4:$D$15,0))&amp;"/"&amp;TEXT(B17,"yyyy"))</f>
        <v/>
      </c>
      <c r="D17" s="13"/>
      <c r="E17" s="13"/>
      <c r="F17" s="15"/>
      <c r="G17" s="13"/>
      <c r="H17" s="13"/>
      <c r="I17" s="13"/>
    </row>
    <row r="18" customFormat="false" ht="15" hidden="false" customHeight="false" outlineLevel="0" collapsed="false">
      <c r="A18" s="16" t="str">
        <f aca="false">IF(B18="","",Pengaturan!$B$5+ROW()-3)</f>
        <v/>
      </c>
      <c r="B18" s="17"/>
      <c r="C18" s="18" t="str">
        <f aca="false">IF(B18="","",TEXT(A18,"000")&amp;"/"&amp;Pengaturan!$B$4&amp;"-"&amp;Pengaturan!$B$3&amp;"/"&amp;INDEX(Pengaturan!$E$4:$E$15,MATCH(MONTH(B18),Pengaturan!$D$4:$D$15,0))&amp;"/"&amp;TEXT(B18,"yyyy"))</f>
        <v/>
      </c>
      <c r="D18" s="18"/>
      <c r="E18" s="18"/>
      <c r="F18" s="19"/>
      <c r="G18" s="18"/>
      <c r="H18" s="18"/>
      <c r="I18" s="18"/>
    </row>
    <row r="19" customFormat="false" ht="15" hidden="false" customHeight="false" outlineLevel="0" collapsed="false">
      <c r="A19" s="11" t="str">
        <f aca="false">IF(B19="","",Pengaturan!$B$5+ROW()-3)</f>
        <v/>
      </c>
      <c r="B19" s="12"/>
      <c r="C19" s="13" t="str">
        <f aca="false">IF(B19="","",TEXT(A19,"000")&amp;"/"&amp;Pengaturan!$B$4&amp;"-"&amp;Pengaturan!$B$3&amp;"/"&amp;INDEX(Pengaturan!$E$4:$E$15,MATCH(MONTH(B19),Pengaturan!$D$4:$D$15,0))&amp;"/"&amp;TEXT(B19,"yyyy"))</f>
        <v/>
      </c>
      <c r="D19" s="13"/>
      <c r="E19" s="13"/>
      <c r="F19" s="15"/>
      <c r="G19" s="13"/>
      <c r="H19" s="13"/>
      <c r="I19" s="13"/>
    </row>
    <row r="20" customFormat="false" ht="15" hidden="false" customHeight="false" outlineLevel="0" collapsed="false">
      <c r="A20" s="16" t="str">
        <f aca="false">IF(B20="","",Pengaturan!$B$5+ROW()-3)</f>
        <v/>
      </c>
      <c r="B20" s="17"/>
      <c r="C20" s="18" t="str">
        <f aca="false">IF(B20="","",TEXT(A20,"000")&amp;"/"&amp;Pengaturan!$B$4&amp;"-"&amp;Pengaturan!$B$3&amp;"/"&amp;INDEX(Pengaturan!$E$4:$E$15,MATCH(MONTH(B20),Pengaturan!$D$4:$D$15,0))&amp;"/"&amp;TEXT(B20,"yyyy"))</f>
        <v/>
      </c>
      <c r="D20" s="18"/>
      <c r="E20" s="18"/>
      <c r="F20" s="19"/>
      <c r="G20" s="18"/>
      <c r="H20" s="18"/>
      <c r="I20" s="18"/>
    </row>
    <row r="21" customFormat="false" ht="15" hidden="false" customHeight="false" outlineLevel="0" collapsed="false">
      <c r="A21" s="11" t="str">
        <f aca="false">IF(B21="","",Pengaturan!$B$5+ROW()-3)</f>
        <v/>
      </c>
      <c r="B21" s="12"/>
      <c r="C21" s="13" t="str">
        <f aca="false">IF(B21="","",TEXT(A21,"000")&amp;"/"&amp;Pengaturan!$B$4&amp;"-"&amp;Pengaturan!$B$3&amp;"/"&amp;INDEX(Pengaturan!$E$4:$E$15,MATCH(MONTH(B21),Pengaturan!$D$4:$D$15,0))&amp;"/"&amp;TEXT(B21,"yyyy"))</f>
        <v/>
      </c>
      <c r="D21" s="13"/>
      <c r="E21" s="13"/>
      <c r="F21" s="15"/>
      <c r="G21" s="13"/>
      <c r="H21" s="13"/>
      <c r="I21" s="13"/>
    </row>
    <row r="22" customFormat="false" ht="15" hidden="false" customHeight="false" outlineLevel="0" collapsed="false">
      <c r="A22" s="16" t="str">
        <f aca="false">IF(B22="","",Pengaturan!$B$5+ROW()-3)</f>
        <v/>
      </c>
      <c r="B22" s="17"/>
      <c r="C22" s="18" t="str">
        <f aca="false">IF(B22="","",TEXT(A22,"000")&amp;"/"&amp;Pengaturan!$B$4&amp;"-"&amp;Pengaturan!$B$3&amp;"/"&amp;INDEX(Pengaturan!$E$4:$E$15,MATCH(MONTH(B22),Pengaturan!$D$4:$D$15,0))&amp;"/"&amp;TEXT(B22,"yyyy"))</f>
        <v/>
      </c>
      <c r="D22" s="18"/>
      <c r="E22" s="18"/>
      <c r="F22" s="19"/>
      <c r="G22" s="18"/>
      <c r="H22" s="18"/>
      <c r="I22" s="18"/>
    </row>
    <row r="23" customFormat="false" ht="15" hidden="false" customHeight="false" outlineLevel="0" collapsed="false">
      <c r="A23" s="11" t="str">
        <f aca="false">IF(B23="","",Pengaturan!$B$5+ROW()-3)</f>
        <v/>
      </c>
      <c r="B23" s="12"/>
      <c r="C23" s="13" t="str">
        <f aca="false">IF(B23="","",TEXT(A23,"000")&amp;"/"&amp;Pengaturan!$B$4&amp;"-"&amp;Pengaturan!$B$3&amp;"/"&amp;INDEX(Pengaturan!$E$4:$E$15,MATCH(MONTH(B23),Pengaturan!$D$4:$D$15,0))&amp;"/"&amp;TEXT(B23,"yyyy"))</f>
        <v/>
      </c>
      <c r="D23" s="13"/>
      <c r="E23" s="13"/>
      <c r="F23" s="15"/>
      <c r="G23" s="13"/>
      <c r="H23" s="13"/>
      <c r="I23" s="13"/>
    </row>
    <row r="24" customFormat="false" ht="15" hidden="false" customHeight="false" outlineLevel="0" collapsed="false">
      <c r="A24" s="16" t="str">
        <f aca="false">IF(B24="","",Pengaturan!$B$5+ROW()-3)</f>
        <v/>
      </c>
      <c r="B24" s="17"/>
      <c r="C24" s="18" t="str">
        <f aca="false">IF(B24="","",TEXT(A24,"000")&amp;"/"&amp;Pengaturan!$B$4&amp;"-"&amp;Pengaturan!$B$3&amp;"/"&amp;INDEX(Pengaturan!$E$4:$E$15,MATCH(MONTH(B24),Pengaturan!$D$4:$D$15,0))&amp;"/"&amp;TEXT(B24,"yyyy"))</f>
        <v/>
      </c>
      <c r="D24" s="18"/>
      <c r="E24" s="18"/>
      <c r="F24" s="19"/>
      <c r="G24" s="18"/>
      <c r="H24" s="18"/>
      <c r="I24" s="18"/>
    </row>
    <row r="25" customFormat="false" ht="15" hidden="false" customHeight="false" outlineLevel="0" collapsed="false">
      <c r="A25" s="11" t="str">
        <f aca="false">IF(B25="","",Pengaturan!$B$5+ROW()-3)</f>
        <v/>
      </c>
      <c r="B25" s="12"/>
      <c r="C25" s="13" t="str">
        <f aca="false">IF(B25="","",TEXT(A25,"000")&amp;"/"&amp;Pengaturan!$B$4&amp;"-"&amp;Pengaturan!$B$3&amp;"/"&amp;INDEX(Pengaturan!$E$4:$E$15,MATCH(MONTH(B25),Pengaturan!$D$4:$D$15,0))&amp;"/"&amp;TEXT(B25,"yyyy"))</f>
        <v/>
      </c>
      <c r="D25" s="13"/>
      <c r="E25" s="13"/>
      <c r="F25" s="15"/>
      <c r="G25" s="13"/>
      <c r="H25" s="13"/>
      <c r="I25" s="13"/>
    </row>
    <row r="26" customFormat="false" ht="15" hidden="false" customHeight="false" outlineLevel="0" collapsed="false">
      <c r="A26" s="16" t="str">
        <f aca="false">IF(B26="","",Pengaturan!$B$5+ROW()-3)</f>
        <v/>
      </c>
      <c r="B26" s="17"/>
      <c r="C26" s="18" t="str">
        <f aca="false">IF(B26="","",TEXT(A26,"000")&amp;"/"&amp;Pengaturan!$B$4&amp;"-"&amp;Pengaturan!$B$3&amp;"/"&amp;INDEX(Pengaturan!$E$4:$E$15,MATCH(MONTH(B26),Pengaturan!$D$4:$D$15,0))&amp;"/"&amp;TEXT(B26,"yyyy"))</f>
        <v/>
      </c>
      <c r="D26" s="18"/>
      <c r="E26" s="18"/>
      <c r="F26" s="19"/>
      <c r="G26" s="18"/>
      <c r="H26" s="18"/>
      <c r="I26" s="18"/>
    </row>
    <row r="27" customFormat="false" ht="15" hidden="false" customHeight="false" outlineLevel="0" collapsed="false">
      <c r="A27" s="11" t="str">
        <f aca="false">IF(B27="","",Pengaturan!$B$5+ROW()-3)</f>
        <v/>
      </c>
      <c r="B27" s="12"/>
      <c r="C27" s="13" t="str">
        <f aca="false">IF(B27="","",TEXT(A27,"000")&amp;"/"&amp;Pengaturan!$B$4&amp;"-"&amp;Pengaturan!$B$3&amp;"/"&amp;INDEX(Pengaturan!$E$4:$E$15,MATCH(MONTH(B27),Pengaturan!$D$4:$D$15,0))&amp;"/"&amp;TEXT(B27,"yyyy"))</f>
        <v/>
      </c>
      <c r="D27" s="13"/>
      <c r="E27" s="13"/>
      <c r="F27" s="15"/>
      <c r="G27" s="13"/>
      <c r="H27" s="13"/>
      <c r="I27" s="13"/>
    </row>
    <row r="28" customFormat="false" ht="15" hidden="false" customHeight="false" outlineLevel="0" collapsed="false">
      <c r="A28" s="16" t="str">
        <f aca="false">IF(B28="","",Pengaturan!$B$5+ROW()-3)</f>
        <v/>
      </c>
      <c r="B28" s="17"/>
      <c r="C28" s="18" t="str">
        <f aca="false">IF(B28="","",TEXT(A28,"000")&amp;"/"&amp;Pengaturan!$B$4&amp;"-"&amp;Pengaturan!$B$3&amp;"/"&amp;INDEX(Pengaturan!$E$4:$E$15,MATCH(MONTH(B28),Pengaturan!$D$4:$D$15,0))&amp;"/"&amp;TEXT(B28,"yyyy"))</f>
        <v/>
      </c>
      <c r="D28" s="18"/>
      <c r="E28" s="18"/>
      <c r="F28" s="19"/>
      <c r="G28" s="18"/>
      <c r="H28" s="18"/>
      <c r="I28" s="18"/>
    </row>
    <row r="29" customFormat="false" ht="15" hidden="false" customHeight="false" outlineLevel="0" collapsed="false">
      <c r="A29" s="11" t="str">
        <f aca="false">IF(B29="","",Pengaturan!$B$5+ROW()-3)</f>
        <v/>
      </c>
      <c r="B29" s="12"/>
      <c r="C29" s="13" t="str">
        <f aca="false">IF(B29="","",TEXT(A29,"000")&amp;"/"&amp;Pengaturan!$B$4&amp;"-"&amp;Pengaturan!$B$3&amp;"/"&amp;INDEX(Pengaturan!$E$4:$E$15,MATCH(MONTH(B29),Pengaturan!$D$4:$D$15,0))&amp;"/"&amp;TEXT(B29,"yyyy"))</f>
        <v/>
      </c>
      <c r="D29" s="13"/>
      <c r="E29" s="13"/>
      <c r="F29" s="15"/>
      <c r="G29" s="13"/>
      <c r="H29" s="13"/>
      <c r="I29" s="13"/>
    </row>
    <row r="30" customFormat="false" ht="15" hidden="false" customHeight="false" outlineLevel="0" collapsed="false">
      <c r="A30" s="16" t="str">
        <f aca="false">IF(B30="","",Pengaturan!$B$5+ROW()-3)</f>
        <v/>
      </c>
      <c r="B30" s="17"/>
      <c r="C30" s="18" t="str">
        <f aca="false">IF(B30="","",TEXT(A30,"000")&amp;"/"&amp;Pengaturan!$B$4&amp;"-"&amp;Pengaturan!$B$3&amp;"/"&amp;INDEX(Pengaturan!$E$4:$E$15,MATCH(MONTH(B30),Pengaturan!$D$4:$D$15,0))&amp;"/"&amp;TEXT(B30,"yyyy"))</f>
        <v/>
      </c>
      <c r="D30" s="18"/>
      <c r="E30" s="18"/>
      <c r="F30" s="19"/>
      <c r="G30" s="18"/>
      <c r="H30" s="18"/>
      <c r="I30" s="18"/>
    </row>
    <row r="31" customFormat="false" ht="15" hidden="false" customHeight="false" outlineLevel="0" collapsed="false">
      <c r="A31" s="11" t="str">
        <f aca="false">IF(B31="","",Pengaturan!$B$5+ROW()-3)</f>
        <v/>
      </c>
      <c r="B31" s="12"/>
      <c r="C31" s="13" t="str">
        <f aca="false">IF(B31="","",TEXT(A31,"000")&amp;"/"&amp;Pengaturan!$B$4&amp;"-"&amp;Pengaturan!$B$3&amp;"/"&amp;INDEX(Pengaturan!$E$4:$E$15,MATCH(MONTH(B31),Pengaturan!$D$4:$D$15,0))&amp;"/"&amp;TEXT(B31,"yyyy"))</f>
        <v/>
      </c>
      <c r="D31" s="13"/>
      <c r="E31" s="13"/>
      <c r="F31" s="15"/>
      <c r="G31" s="13"/>
      <c r="H31" s="13"/>
      <c r="I31" s="13"/>
    </row>
    <row r="32" customFormat="false" ht="15" hidden="false" customHeight="false" outlineLevel="0" collapsed="false">
      <c r="A32" s="16" t="str">
        <f aca="false">IF(B32="","",Pengaturan!$B$5+ROW()-3)</f>
        <v/>
      </c>
      <c r="B32" s="17"/>
      <c r="C32" s="18" t="str">
        <f aca="false">IF(B32="","",TEXT(A32,"000")&amp;"/"&amp;Pengaturan!$B$4&amp;"-"&amp;Pengaturan!$B$3&amp;"/"&amp;INDEX(Pengaturan!$E$4:$E$15,MATCH(MONTH(B32),Pengaturan!$D$4:$D$15,0))&amp;"/"&amp;TEXT(B32,"yyyy"))</f>
        <v/>
      </c>
      <c r="D32" s="18"/>
      <c r="E32" s="18"/>
      <c r="F32" s="19"/>
      <c r="G32" s="18"/>
      <c r="H32" s="18"/>
      <c r="I32" s="18"/>
    </row>
    <row r="33" customFormat="false" ht="15" hidden="false" customHeight="false" outlineLevel="0" collapsed="false">
      <c r="A33" s="11" t="str">
        <f aca="false">IF(B33="","",Pengaturan!$B$5+ROW()-3)</f>
        <v/>
      </c>
      <c r="B33" s="12"/>
      <c r="C33" s="13" t="str">
        <f aca="false">IF(B33="","",TEXT(A33,"000")&amp;"/"&amp;Pengaturan!$B$4&amp;"-"&amp;Pengaturan!$B$3&amp;"/"&amp;INDEX(Pengaturan!$E$4:$E$15,MATCH(MONTH(B33),Pengaturan!$D$4:$D$15,0))&amp;"/"&amp;TEXT(B33,"yyyy"))</f>
        <v/>
      </c>
      <c r="D33" s="13"/>
      <c r="E33" s="13"/>
      <c r="F33" s="15"/>
      <c r="G33" s="13"/>
      <c r="H33" s="13"/>
      <c r="I33" s="13"/>
    </row>
    <row r="34" customFormat="false" ht="15" hidden="false" customHeight="false" outlineLevel="0" collapsed="false">
      <c r="A34" s="16" t="str">
        <f aca="false">IF(B34="","",Pengaturan!$B$5+ROW()-3)</f>
        <v/>
      </c>
      <c r="B34" s="17"/>
      <c r="C34" s="18" t="str">
        <f aca="false">IF(B34="","",TEXT(A34,"000")&amp;"/"&amp;Pengaturan!$B$4&amp;"-"&amp;Pengaturan!$B$3&amp;"/"&amp;INDEX(Pengaturan!$E$4:$E$15,MATCH(MONTH(B34),Pengaturan!$D$4:$D$15,0))&amp;"/"&amp;TEXT(B34,"yyyy"))</f>
        <v/>
      </c>
      <c r="D34" s="18"/>
      <c r="E34" s="18"/>
      <c r="F34" s="19"/>
      <c r="G34" s="18"/>
      <c r="H34" s="18"/>
      <c r="I34" s="18"/>
    </row>
    <row r="35" customFormat="false" ht="15" hidden="false" customHeight="false" outlineLevel="0" collapsed="false">
      <c r="A35" s="11" t="str">
        <f aca="false">IF(B35="","",Pengaturan!$B$5+ROW()-3)</f>
        <v/>
      </c>
      <c r="B35" s="12"/>
      <c r="C35" s="13" t="str">
        <f aca="false">IF(B35="","",TEXT(A35,"000")&amp;"/"&amp;Pengaturan!$B$4&amp;"-"&amp;Pengaturan!$B$3&amp;"/"&amp;INDEX(Pengaturan!$E$4:$E$15,MATCH(MONTH(B35),Pengaturan!$D$4:$D$15,0))&amp;"/"&amp;TEXT(B35,"yyyy"))</f>
        <v/>
      </c>
      <c r="D35" s="13"/>
      <c r="E35" s="13"/>
      <c r="F35" s="15"/>
      <c r="G35" s="13"/>
      <c r="H35" s="13"/>
      <c r="I35" s="13"/>
    </row>
    <row r="36" customFormat="false" ht="15" hidden="false" customHeight="false" outlineLevel="0" collapsed="false">
      <c r="A36" s="16" t="str">
        <f aca="false">IF(B36="","",Pengaturan!$B$5+ROW()-3)</f>
        <v/>
      </c>
      <c r="B36" s="17"/>
      <c r="C36" s="18" t="str">
        <f aca="false">IF(B36="","",TEXT(A36,"000")&amp;"/"&amp;Pengaturan!$B$4&amp;"-"&amp;Pengaturan!$B$3&amp;"/"&amp;INDEX(Pengaturan!$E$4:$E$15,MATCH(MONTH(B36),Pengaturan!$D$4:$D$15,0))&amp;"/"&amp;TEXT(B36,"yyyy"))</f>
        <v/>
      </c>
      <c r="D36" s="18"/>
      <c r="E36" s="18"/>
      <c r="F36" s="19"/>
      <c r="G36" s="18"/>
      <c r="H36" s="18"/>
      <c r="I36" s="18"/>
    </row>
    <row r="37" customFormat="false" ht="15" hidden="false" customHeight="false" outlineLevel="0" collapsed="false">
      <c r="A37" s="11" t="str">
        <f aca="false">IF(B37="","",Pengaturan!$B$5+ROW()-3)</f>
        <v/>
      </c>
      <c r="B37" s="12"/>
      <c r="C37" s="13" t="str">
        <f aca="false">IF(B37="","",TEXT(A37,"000")&amp;"/"&amp;Pengaturan!$B$4&amp;"-"&amp;Pengaturan!$B$3&amp;"/"&amp;INDEX(Pengaturan!$E$4:$E$15,MATCH(MONTH(B37),Pengaturan!$D$4:$D$15,0))&amp;"/"&amp;TEXT(B37,"yyyy"))</f>
        <v/>
      </c>
      <c r="D37" s="13"/>
      <c r="E37" s="13"/>
      <c r="F37" s="15"/>
      <c r="G37" s="13"/>
      <c r="H37" s="13"/>
      <c r="I37" s="13"/>
    </row>
    <row r="38" customFormat="false" ht="15" hidden="false" customHeight="false" outlineLevel="0" collapsed="false">
      <c r="A38" s="16" t="str">
        <f aca="false">IF(B38="","",Pengaturan!$B$5+ROW()-3)</f>
        <v/>
      </c>
      <c r="B38" s="17"/>
      <c r="C38" s="18" t="str">
        <f aca="false">IF(B38="","",TEXT(A38,"000")&amp;"/"&amp;Pengaturan!$B$4&amp;"-"&amp;Pengaturan!$B$3&amp;"/"&amp;INDEX(Pengaturan!$E$4:$E$15,MATCH(MONTH(B38),Pengaturan!$D$4:$D$15,0))&amp;"/"&amp;TEXT(B38,"yyyy"))</f>
        <v/>
      </c>
      <c r="D38" s="18"/>
      <c r="E38" s="18"/>
      <c r="F38" s="19"/>
      <c r="G38" s="18"/>
      <c r="H38" s="18"/>
      <c r="I38" s="18"/>
    </row>
    <row r="39" customFormat="false" ht="15" hidden="false" customHeight="false" outlineLevel="0" collapsed="false">
      <c r="A39" s="11" t="str">
        <f aca="false">IF(B39="","",Pengaturan!$B$5+ROW()-3)</f>
        <v/>
      </c>
      <c r="B39" s="12"/>
      <c r="C39" s="13" t="str">
        <f aca="false">IF(B39="","",TEXT(A39,"000")&amp;"/"&amp;Pengaturan!$B$4&amp;"-"&amp;Pengaturan!$B$3&amp;"/"&amp;INDEX(Pengaturan!$E$4:$E$15,MATCH(MONTH(B39),Pengaturan!$D$4:$D$15,0))&amp;"/"&amp;TEXT(B39,"yyyy"))</f>
        <v/>
      </c>
      <c r="D39" s="13"/>
      <c r="E39" s="13"/>
      <c r="F39" s="15"/>
      <c r="G39" s="13"/>
      <c r="H39" s="13"/>
      <c r="I39" s="13"/>
    </row>
    <row r="40" customFormat="false" ht="15" hidden="false" customHeight="false" outlineLevel="0" collapsed="false">
      <c r="A40" s="16" t="str">
        <f aca="false">IF(B40="","",Pengaturan!$B$5+ROW()-3)</f>
        <v/>
      </c>
      <c r="B40" s="17"/>
      <c r="C40" s="18" t="str">
        <f aca="false">IF(B40="","",TEXT(A40,"000")&amp;"/"&amp;Pengaturan!$B$4&amp;"-"&amp;Pengaturan!$B$3&amp;"/"&amp;INDEX(Pengaturan!$E$4:$E$15,MATCH(MONTH(B40),Pengaturan!$D$4:$D$15,0))&amp;"/"&amp;TEXT(B40,"yyyy"))</f>
        <v/>
      </c>
      <c r="D40" s="18"/>
      <c r="E40" s="18"/>
      <c r="F40" s="19"/>
      <c r="G40" s="18"/>
      <c r="H40" s="18"/>
      <c r="I40" s="18"/>
    </row>
    <row r="41" customFormat="false" ht="15" hidden="false" customHeight="false" outlineLevel="0" collapsed="false">
      <c r="A41" s="11" t="str">
        <f aca="false">IF(B41="","",Pengaturan!$B$5+ROW()-3)</f>
        <v/>
      </c>
      <c r="B41" s="12"/>
      <c r="C41" s="13" t="str">
        <f aca="false">IF(B41="","",TEXT(A41,"000")&amp;"/"&amp;Pengaturan!$B$4&amp;"-"&amp;Pengaturan!$B$3&amp;"/"&amp;INDEX(Pengaturan!$E$4:$E$15,MATCH(MONTH(B41),Pengaturan!$D$4:$D$15,0))&amp;"/"&amp;TEXT(B41,"yyyy"))</f>
        <v/>
      </c>
      <c r="D41" s="13"/>
      <c r="E41" s="13"/>
      <c r="F41" s="15"/>
      <c r="G41" s="13"/>
      <c r="H41" s="13"/>
      <c r="I41" s="13"/>
    </row>
    <row r="42" customFormat="false" ht="15" hidden="false" customHeight="false" outlineLevel="0" collapsed="false">
      <c r="A42" s="16" t="str">
        <f aca="false">IF(B42="","",Pengaturan!$B$5+ROW()-3)</f>
        <v/>
      </c>
      <c r="B42" s="17"/>
      <c r="C42" s="18" t="str">
        <f aca="false">IF(B42="","",TEXT(A42,"000")&amp;"/"&amp;Pengaturan!$B$4&amp;"-"&amp;Pengaturan!$B$3&amp;"/"&amp;INDEX(Pengaturan!$E$4:$E$15,MATCH(MONTH(B42),Pengaturan!$D$4:$D$15,0))&amp;"/"&amp;TEXT(B42,"yyyy"))</f>
        <v/>
      </c>
      <c r="D42" s="18"/>
      <c r="E42" s="18"/>
      <c r="F42" s="19"/>
      <c r="G42" s="18"/>
      <c r="H42" s="18"/>
      <c r="I42" s="18"/>
    </row>
    <row r="43" customFormat="false" ht="15" hidden="false" customHeight="false" outlineLevel="0" collapsed="false">
      <c r="A43" s="11" t="str">
        <f aca="false">IF(B43="","",Pengaturan!$B$5+ROW()-3)</f>
        <v/>
      </c>
      <c r="B43" s="12"/>
      <c r="C43" s="13" t="str">
        <f aca="false">IF(B43="","",TEXT(A43,"000")&amp;"/"&amp;Pengaturan!$B$4&amp;"-"&amp;Pengaturan!$B$3&amp;"/"&amp;INDEX(Pengaturan!$E$4:$E$15,MATCH(MONTH(B43),Pengaturan!$D$4:$D$15,0))&amp;"/"&amp;TEXT(B43,"yyyy"))</f>
        <v/>
      </c>
      <c r="D43" s="13"/>
      <c r="E43" s="13"/>
      <c r="F43" s="15"/>
      <c r="G43" s="13"/>
      <c r="H43" s="13"/>
      <c r="I43" s="13"/>
    </row>
    <row r="44" customFormat="false" ht="15" hidden="false" customHeight="false" outlineLevel="0" collapsed="false">
      <c r="A44" s="16" t="str">
        <f aca="false">IF(B44="","",Pengaturan!$B$5+ROW()-3)</f>
        <v/>
      </c>
      <c r="B44" s="17"/>
      <c r="C44" s="18" t="str">
        <f aca="false">IF(B44="","",TEXT(A44,"000")&amp;"/"&amp;Pengaturan!$B$4&amp;"-"&amp;Pengaturan!$B$3&amp;"/"&amp;INDEX(Pengaturan!$E$4:$E$15,MATCH(MONTH(B44),Pengaturan!$D$4:$D$15,0))&amp;"/"&amp;TEXT(B44,"yyyy"))</f>
        <v/>
      </c>
      <c r="D44" s="18"/>
      <c r="E44" s="18"/>
      <c r="F44" s="19"/>
      <c r="G44" s="18"/>
      <c r="H44" s="18"/>
      <c r="I44" s="18"/>
    </row>
    <row r="45" customFormat="false" ht="15" hidden="false" customHeight="false" outlineLevel="0" collapsed="false">
      <c r="A45" s="11" t="str">
        <f aca="false">IF(B45="","",Pengaturan!$B$5+ROW()-3)</f>
        <v/>
      </c>
      <c r="B45" s="12"/>
      <c r="C45" s="13" t="str">
        <f aca="false">IF(B45="","",TEXT(A45,"000")&amp;"/"&amp;Pengaturan!$B$4&amp;"-"&amp;Pengaturan!$B$3&amp;"/"&amp;INDEX(Pengaturan!$E$4:$E$15,MATCH(MONTH(B45),Pengaturan!$D$4:$D$15,0))&amp;"/"&amp;TEXT(B45,"yyyy"))</f>
        <v/>
      </c>
      <c r="D45" s="13"/>
      <c r="E45" s="13"/>
      <c r="F45" s="15"/>
      <c r="G45" s="13"/>
      <c r="H45" s="13"/>
      <c r="I45" s="13"/>
    </row>
    <row r="46" customFormat="false" ht="15" hidden="false" customHeight="false" outlineLevel="0" collapsed="false">
      <c r="A46" s="16" t="str">
        <f aca="false">IF(B46="","",Pengaturan!$B$5+ROW()-3)</f>
        <v/>
      </c>
      <c r="B46" s="17"/>
      <c r="C46" s="18" t="str">
        <f aca="false">IF(B46="","",TEXT(A46,"000")&amp;"/"&amp;Pengaturan!$B$4&amp;"-"&amp;Pengaturan!$B$3&amp;"/"&amp;INDEX(Pengaturan!$E$4:$E$15,MATCH(MONTH(B46),Pengaturan!$D$4:$D$15,0))&amp;"/"&amp;TEXT(B46,"yyyy"))</f>
        <v/>
      </c>
      <c r="D46" s="18"/>
      <c r="E46" s="18"/>
      <c r="F46" s="19"/>
      <c r="G46" s="18"/>
      <c r="H46" s="18"/>
      <c r="I46" s="18"/>
    </row>
    <row r="47" customFormat="false" ht="15" hidden="false" customHeight="false" outlineLevel="0" collapsed="false">
      <c r="A47" s="11" t="str">
        <f aca="false">IF(B47="","",Pengaturan!$B$5+ROW()-3)</f>
        <v/>
      </c>
      <c r="B47" s="12"/>
      <c r="C47" s="13" t="str">
        <f aca="false">IF(B47="","",TEXT(A47,"000")&amp;"/"&amp;Pengaturan!$B$4&amp;"-"&amp;Pengaturan!$B$3&amp;"/"&amp;INDEX(Pengaturan!$E$4:$E$15,MATCH(MONTH(B47),Pengaturan!$D$4:$D$15,0))&amp;"/"&amp;TEXT(B47,"yyyy"))</f>
        <v/>
      </c>
      <c r="D47" s="13"/>
      <c r="E47" s="13"/>
      <c r="F47" s="15"/>
      <c r="G47" s="13"/>
      <c r="H47" s="13"/>
      <c r="I47" s="13"/>
    </row>
    <row r="48" customFormat="false" ht="15" hidden="false" customHeight="false" outlineLevel="0" collapsed="false">
      <c r="A48" s="16" t="str">
        <f aca="false">IF(B48="","",Pengaturan!$B$5+ROW()-3)</f>
        <v/>
      </c>
      <c r="B48" s="17"/>
      <c r="C48" s="18" t="str">
        <f aca="false">IF(B48="","",TEXT(A48,"000")&amp;"/"&amp;Pengaturan!$B$4&amp;"-"&amp;Pengaturan!$B$3&amp;"/"&amp;INDEX(Pengaturan!$E$4:$E$15,MATCH(MONTH(B48),Pengaturan!$D$4:$D$15,0))&amp;"/"&amp;TEXT(B48,"yyyy"))</f>
        <v/>
      </c>
      <c r="D48" s="18"/>
      <c r="E48" s="18"/>
      <c r="F48" s="19"/>
      <c r="G48" s="18"/>
      <c r="H48" s="18"/>
      <c r="I48" s="18"/>
    </row>
    <row r="49" customFormat="false" ht="15" hidden="false" customHeight="false" outlineLevel="0" collapsed="false">
      <c r="A49" s="11" t="str">
        <f aca="false">IF(B49="","",Pengaturan!$B$5+ROW()-3)</f>
        <v/>
      </c>
      <c r="B49" s="12"/>
      <c r="C49" s="13" t="str">
        <f aca="false">IF(B49="","",TEXT(A49,"000")&amp;"/"&amp;Pengaturan!$B$4&amp;"-"&amp;Pengaturan!$B$3&amp;"/"&amp;INDEX(Pengaturan!$E$4:$E$15,MATCH(MONTH(B49),Pengaturan!$D$4:$D$15,0))&amp;"/"&amp;TEXT(B49,"yyyy"))</f>
        <v/>
      </c>
      <c r="D49" s="13"/>
      <c r="E49" s="13"/>
      <c r="F49" s="15"/>
      <c r="G49" s="13"/>
      <c r="H49" s="13"/>
      <c r="I49" s="13"/>
    </row>
    <row r="50" customFormat="false" ht="15" hidden="false" customHeight="false" outlineLevel="0" collapsed="false">
      <c r="A50" s="16" t="str">
        <f aca="false">IF(B50="","",Pengaturan!$B$5+ROW()-3)</f>
        <v/>
      </c>
      <c r="B50" s="17"/>
      <c r="C50" s="18" t="str">
        <f aca="false">IF(B50="","",TEXT(A50,"000")&amp;"/"&amp;Pengaturan!$B$4&amp;"-"&amp;Pengaturan!$B$3&amp;"/"&amp;INDEX(Pengaturan!$E$4:$E$15,MATCH(MONTH(B50),Pengaturan!$D$4:$D$15,0))&amp;"/"&amp;TEXT(B50,"yyyy"))</f>
        <v/>
      </c>
      <c r="D50" s="18"/>
      <c r="E50" s="18"/>
      <c r="F50" s="19"/>
      <c r="G50" s="18"/>
      <c r="H50" s="18"/>
      <c r="I50" s="18"/>
    </row>
    <row r="51" customFormat="false" ht="15" hidden="false" customHeight="false" outlineLevel="0" collapsed="false">
      <c r="A51" s="11" t="str">
        <f aca="false">IF(B51="","",Pengaturan!$B$5+ROW()-3)</f>
        <v/>
      </c>
      <c r="B51" s="12"/>
      <c r="C51" s="13" t="str">
        <f aca="false">IF(B51="","",TEXT(A51,"000")&amp;"/"&amp;Pengaturan!$B$4&amp;"-"&amp;Pengaturan!$B$3&amp;"/"&amp;INDEX(Pengaturan!$E$4:$E$15,MATCH(MONTH(B51),Pengaturan!$D$4:$D$15,0))&amp;"/"&amp;TEXT(B51,"yyyy"))</f>
        <v/>
      </c>
      <c r="D51" s="13"/>
      <c r="E51" s="13"/>
      <c r="F51" s="15"/>
      <c r="G51" s="13"/>
      <c r="H51" s="13"/>
      <c r="I51" s="13"/>
    </row>
    <row r="52" customFormat="false" ht="15" hidden="false" customHeight="false" outlineLevel="0" collapsed="false">
      <c r="A52" s="16" t="str">
        <f aca="false">IF(B52="","",Pengaturan!$B$5+ROW()-3)</f>
        <v/>
      </c>
      <c r="B52" s="17"/>
      <c r="C52" s="18" t="str">
        <f aca="false">IF(B52="","",TEXT(A52,"000")&amp;"/"&amp;Pengaturan!$B$4&amp;"-"&amp;Pengaturan!$B$3&amp;"/"&amp;INDEX(Pengaturan!$E$4:$E$15,MATCH(MONTH(B52),Pengaturan!$D$4:$D$15,0))&amp;"/"&amp;TEXT(B52,"yyyy"))</f>
        <v/>
      </c>
      <c r="D52" s="18"/>
      <c r="E52" s="18"/>
      <c r="F52" s="19"/>
      <c r="G52" s="18"/>
      <c r="H52" s="18"/>
      <c r="I52" s="18"/>
    </row>
    <row r="53" customFormat="false" ht="15" hidden="false" customHeight="false" outlineLevel="0" collapsed="false">
      <c r="A53" s="11" t="str">
        <f aca="false">IF(B53="","",Pengaturan!$B$5+ROW()-3)</f>
        <v/>
      </c>
      <c r="B53" s="12"/>
      <c r="C53" s="13" t="str">
        <f aca="false">IF(B53="","",TEXT(A53,"000")&amp;"/"&amp;Pengaturan!$B$4&amp;"-"&amp;Pengaturan!$B$3&amp;"/"&amp;INDEX(Pengaturan!$E$4:$E$15,MATCH(MONTH(B53),Pengaturan!$D$4:$D$15,0))&amp;"/"&amp;TEXT(B53,"yyyy"))</f>
        <v/>
      </c>
      <c r="D53" s="13"/>
      <c r="E53" s="13"/>
      <c r="F53" s="15"/>
      <c r="G53" s="13"/>
      <c r="H53" s="13"/>
      <c r="I53" s="13"/>
    </row>
    <row r="54" customFormat="false" ht="15" hidden="false" customHeight="false" outlineLevel="0" collapsed="false">
      <c r="A54" s="16" t="str">
        <f aca="false">IF(B54="","",Pengaturan!$B$5+ROW()-3)</f>
        <v/>
      </c>
      <c r="B54" s="17"/>
      <c r="C54" s="18" t="str">
        <f aca="false">IF(B54="","",TEXT(A54,"000")&amp;"/"&amp;Pengaturan!$B$4&amp;"-"&amp;Pengaturan!$B$3&amp;"/"&amp;INDEX(Pengaturan!$E$4:$E$15,MATCH(MONTH(B54),Pengaturan!$D$4:$D$15,0))&amp;"/"&amp;TEXT(B54,"yyyy"))</f>
        <v/>
      </c>
      <c r="D54" s="18"/>
      <c r="E54" s="18"/>
      <c r="F54" s="19"/>
      <c r="G54" s="18"/>
      <c r="H54" s="18"/>
      <c r="I54" s="18"/>
    </row>
    <row r="55" customFormat="false" ht="15" hidden="false" customHeight="false" outlineLevel="0" collapsed="false">
      <c r="A55" s="11" t="str">
        <f aca="false">IF(B55="","",Pengaturan!$B$5+ROW()-3)</f>
        <v/>
      </c>
      <c r="B55" s="12"/>
      <c r="C55" s="13" t="str">
        <f aca="false">IF(B55="","",TEXT(A55,"000")&amp;"/"&amp;Pengaturan!$B$4&amp;"-"&amp;Pengaturan!$B$3&amp;"/"&amp;INDEX(Pengaturan!$E$4:$E$15,MATCH(MONTH(B55),Pengaturan!$D$4:$D$15,0))&amp;"/"&amp;TEXT(B55,"yyyy"))</f>
        <v/>
      </c>
      <c r="D55" s="13"/>
      <c r="E55" s="13"/>
      <c r="F55" s="15"/>
      <c r="G55" s="13"/>
      <c r="H55" s="13"/>
      <c r="I55" s="13"/>
    </row>
    <row r="56" customFormat="false" ht="15" hidden="false" customHeight="false" outlineLevel="0" collapsed="false">
      <c r="A56" s="16" t="str">
        <f aca="false">IF(B56="","",Pengaturan!$B$5+ROW()-3)</f>
        <v/>
      </c>
      <c r="B56" s="17"/>
      <c r="C56" s="18" t="str">
        <f aca="false">IF(B56="","",TEXT(A56,"000")&amp;"/"&amp;Pengaturan!$B$4&amp;"-"&amp;Pengaturan!$B$3&amp;"/"&amp;INDEX(Pengaturan!$E$4:$E$15,MATCH(MONTH(B56),Pengaturan!$D$4:$D$15,0))&amp;"/"&amp;TEXT(B56,"yyyy"))</f>
        <v/>
      </c>
      <c r="D56" s="18"/>
      <c r="E56" s="18"/>
      <c r="F56" s="19"/>
      <c r="G56" s="18"/>
      <c r="H56" s="18"/>
      <c r="I56" s="18"/>
    </row>
    <row r="57" customFormat="false" ht="15" hidden="false" customHeight="false" outlineLevel="0" collapsed="false">
      <c r="A57" s="11" t="str">
        <f aca="false">IF(B57="","",Pengaturan!$B$5+ROW()-3)</f>
        <v/>
      </c>
      <c r="B57" s="12"/>
      <c r="C57" s="13" t="str">
        <f aca="false">IF(B57="","",TEXT(A57,"000")&amp;"/"&amp;Pengaturan!$B$4&amp;"-"&amp;Pengaturan!$B$3&amp;"/"&amp;INDEX(Pengaturan!$E$4:$E$15,MATCH(MONTH(B57),Pengaturan!$D$4:$D$15,0))&amp;"/"&amp;TEXT(B57,"yyyy"))</f>
        <v/>
      </c>
      <c r="D57" s="13"/>
      <c r="E57" s="13"/>
      <c r="F57" s="15"/>
      <c r="G57" s="13"/>
      <c r="H57" s="13"/>
      <c r="I57" s="13"/>
    </row>
    <row r="58" customFormat="false" ht="15" hidden="false" customHeight="false" outlineLevel="0" collapsed="false">
      <c r="A58" s="16" t="str">
        <f aca="false">IF(B58="","",Pengaturan!$B$5+ROW()-3)</f>
        <v/>
      </c>
      <c r="B58" s="17"/>
      <c r="C58" s="18" t="str">
        <f aca="false">IF(B58="","",TEXT(A58,"000")&amp;"/"&amp;Pengaturan!$B$4&amp;"-"&amp;Pengaturan!$B$3&amp;"/"&amp;INDEX(Pengaturan!$E$4:$E$15,MATCH(MONTH(B58),Pengaturan!$D$4:$D$15,0))&amp;"/"&amp;TEXT(B58,"yyyy"))</f>
        <v/>
      </c>
      <c r="D58" s="18"/>
      <c r="E58" s="18"/>
      <c r="F58" s="19"/>
      <c r="G58" s="18"/>
      <c r="H58" s="18"/>
      <c r="I58" s="18"/>
    </row>
    <row r="59" customFormat="false" ht="15" hidden="false" customHeight="false" outlineLevel="0" collapsed="false">
      <c r="A59" s="11" t="str">
        <f aca="false">IF(B59="","",Pengaturan!$B$5+ROW()-3)</f>
        <v/>
      </c>
      <c r="B59" s="12"/>
      <c r="C59" s="13" t="str">
        <f aca="false">IF(B59="","",TEXT(A59,"000")&amp;"/"&amp;Pengaturan!$B$4&amp;"-"&amp;Pengaturan!$B$3&amp;"/"&amp;INDEX(Pengaturan!$E$4:$E$15,MATCH(MONTH(B59),Pengaturan!$D$4:$D$15,0))&amp;"/"&amp;TEXT(B59,"yyyy"))</f>
        <v/>
      </c>
      <c r="D59" s="13"/>
      <c r="E59" s="13"/>
      <c r="F59" s="15"/>
      <c r="G59" s="13"/>
      <c r="H59" s="13"/>
      <c r="I59" s="13"/>
    </row>
    <row r="60" customFormat="false" ht="15" hidden="false" customHeight="false" outlineLevel="0" collapsed="false">
      <c r="A60" s="16" t="str">
        <f aca="false">IF(B60="","",Pengaturan!$B$5+ROW()-3)</f>
        <v/>
      </c>
      <c r="B60" s="17"/>
      <c r="C60" s="18" t="str">
        <f aca="false">IF(B60="","",TEXT(A60,"000")&amp;"/"&amp;Pengaturan!$B$4&amp;"-"&amp;Pengaturan!$B$3&amp;"/"&amp;INDEX(Pengaturan!$E$4:$E$15,MATCH(MONTH(B60),Pengaturan!$D$4:$D$15,0))&amp;"/"&amp;TEXT(B60,"yyyy"))</f>
        <v/>
      </c>
      <c r="D60" s="18"/>
      <c r="E60" s="18"/>
      <c r="F60" s="19"/>
      <c r="G60" s="18"/>
      <c r="H60" s="18"/>
      <c r="I60" s="18"/>
    </row>
    <row r="61" customFormat="false" ht="15" hidden="false" customHeight="false" outlineLevel="0" collapsed="false">
      <c r="A61" s="11" t="str">
        <f aca="false">IF(B61="","",Pengaturan!$B$5+ROW()-3)</f>
        <v/>
      </c>
      <c r="B61" s="12"/>
      <c r="C61" s="13" t="str">
        <f aca="false">IF(B61="","",TEXT(A61,"000")&amp;"/"&amp;Pengaturan!$B$4&amp;"-"&amp;Pengaturan!$B$3&amp;"/"&amp;INDEX(Pengaturan!$E$4:$E$15,MATCH(MONTH(B61),Pengaturan!$D$4:$D$15,0))&amp;"/"&amp;TEXT(B61,"yyyy"))</f>
        <v/>
      </c>
      <c r="D61" s="13"/>
      <c r="E61" s="13"/>
      <c r="F61" s="15"/>
      <c r="G61" s="13"/>
      <c r="H61" s="13"/>
      <c r="I61" s="13"/>
    </row>
    <row r="62" customFormat="false" ht="15" hidden="false" customHeight="false" outlineLevel="0" collapsed="false">
      <c r="A62" s="16" t="str">
        <f aca="false">IF(B62="","",Pengaturan!$B$5+ROW()-3)</f>
        <v/>
      </c>
      <c r="B62" s="17"/>
      <c r="C62" s="18" t="str">
        <f aca="false">IF(B62="","",TEXT(A62,"000")&amp;"/"&amp;Pengaturan!$B$4&amp;"-"&amp;Pengaturan!$B$3&amp;"/"&amp;INDEX(Pengaturan!$E$4:$E$15,MATCH(MONTH(B62),Pengaturan!$D$4:$D$15,0))&amp;"/"&amp;TEXT(B62,"yyyy"))</f>
        <v/>
      </c>
      <c r="D62" s="18"/>
      <c r="E62" s="18"/>
      <c r="F62" s="19"/>
      <c r="G62" s="18"/>
      <c r="H62" s="18"/>
      <c r="I62" s="18"/>
    </row>
    <row r="64" customFormat="false" ht="15" hidden="false" customHeight="false" outlineLevel="0" collapsed="false">
      <c r="A64" s="9" t="s">
        <v>42</v>
      </c>
      <c r="B64" s="9"/>
      <c r="C64" s="9"/>
      <c r="D64" s="9"/>
      <c r="E64" s="9"/>
      <c r="F64" s="9"/>
      <c r="G64" s="9"/>
      <c r="H64" s="9"/>
      <c r="I64" s="9"/>
    </row>
  </sheetData>
  <mergeCells count="2">
    <mergeCell ref="A1:I1"/>
    <mergeCell ref="A64:I64"/>
  </mergeCells>
  <dataValidations count="1">
    <dataValidation allowBlank="true" errorStyle="stop" operator="between" showDropDown="false" showErrorMessage="false" showInputMessage="false" sqref="H3:H62" type="list">
      <formula1>"Draft,Terkirim,Revisi,Deal,Batal"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2026-07-28T12:14:40Z</dcterms:created>
  <dc:creator>openpyxl</dc:creator>
  <dc:description/>
  <dc:language>en-US</dc:language>
  <cp:lastModifiedBy/>
  <dcterms:modified xsi:type="dcterms:W3CDTF">2026-07-28T12:14:40Z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